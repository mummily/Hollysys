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gbin184035.HOLLYSYS\Desktop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967" r:id="rId3"/>
    <sheet name="AO" sheetId="3968" r:id="rId4"/>
    <sheet name="DI" sheetId="3969" r:id="rId5"/>
    <sheet name="DOV" sheetId="3970" r:id="rId6"/>
    <sheet name="AS" sheetId="3971" r:id="rId7"/>
    <sheet name="AM" sheetId="3972" r:id="rId8"/>
    <sheet name="PIDA" sheetId="3973" r:id="rId9"/>
    <sheet name="MOT2" sheetId="3974" r:id="rId10"/>
    <sheet name="VAL2" sheetId="3975" r:id="rId11"/>
    <sheet name="MAN" sheetId="3976" r:id="rId12"/>
    <sheet name="SWITCH" sheetId="3977" r:id="rId13"/>
    <sheet name="ORSEL" sheetId="3978" r:id="rId14"/>
    <sheet name="MULDIV" sheetId="3979" r:id="rId15"/>
    <sheet name="SUMMER" sheetId="3980" r:id="rId16"/>
    <sheet name="FLOWCOMP" sheetId="3981" r:id="rId17"/>
    <sheet name="ONEFOLD" sheetId="3982" r:id="rId18"/>
    <sheet name="HILOAVG" sheetId="3983" r:id="rId19"/>
    <sheet name="MIDOF3" sheetId="3984" r:id="rId20"/>
    <sheet name="VDTLDLAG" sheetId="3985" r:id="rId21"/>
    <sheet name="FLOWSUM" sheetId="3986" r:id="rId22"/>
    <sheet name="DM" sheetId="3987" r:id="rId23"/>
    <sheet name="DS" sheetId="3988" r:id="rId24"/>
    <sheet name="SUMMER_CTRL" sheetId="3989" r:id="rId25"/>
    <sheet name="TIMER" sheetId="3990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81029"/>
</workbook>
</file>

<file path=xl/calcChain.xml><?xml version="1.0" encoding="utf-8"?>
<calcChain xmlns="http://schemas.openxmlformats.org/spreadsheetml/2006/main">
  <c r="K19" i="3219" l="1"/>
  <c r="C19" i="3219"/>
  <c r="M19" i="3219"/>
  <c r="K18" i="3219"/>
  <c r="C18" i="3219"/>
  <c r="M18" i="3219"/>
  <c r="Q18" i="3219"/>
  <c r="K17" i="3219"/>
  <c r="C17" i="3219"/>
  <c r="E17" i="3219"/>
  <c r="K16" i="3219"/>
  <c r="C16" i="3219"/>
  <c r="K15" i="3219"/>
  <c r="C15" i="3219"/>
  <c r="M15" i="3219"/>
  <c r="K14" i="3219"/>
  <c r="C14" i="3219"/>
  <c r="M14" i="3219"/>
  <c r="Q14" i="3219"/>
  <c r="K13" i="3219"/>
  <c r="C13" i="3219"/>
  <c r="E13" i="3219"/>
  <c r="K12" i="3219"/>
  <c r="C12" i="3219"/>
  <c r="K11" i="3219"/>
  <c r="C11" i="3219"/>
  <c r="M11" i="3219"/>
  <c r="K10" i="3219"/>
  <c r="C10" i="3219"/>
  <c r="M10" i="3219"/>
  <c r="Q10" i="3219"/>
  <c r="K9" i="3219"/>
  <c r="C9" i="3219"/>
  <c r="M9" i="3219"/>
  <c r="K8" i="3219"/>
  <c r="C8" i="3219"/>
  <c r="K7" i="3219"/>
  <c r="C7" i="3219"/>
  <c r="M7" i="3219"/>
  <c r="K6" i="3219"/>
  <c r="C6" i="3219"/>
  <c r="M6" i="3219"/>
  <c r="K5" i="3219"/>
  <c r="C5" i="3219"/>
  <c r="M5" i="3219"/>
  <c r="K4" i="3219"/>
  <c r="C4" i="3219"/>
  <c r="K3" i="3219"/>
  <c r="C3" i="3219"/>
  <c r="M3" i="3219"/>
  <c r="K2" i="3219"/>
  <c r="C2" i="3219"/>
  <c r="M2" i="3219"/>
  <c r="Q2" i="3219"/>
  <c r="Q5" i="3219"/>
  <c r="Q9" i="3219"/>
  <c r="M13" i="3219"/>
  <c r="E5" i="3219"/>
  <c r="G5" i="3219"/>
  <c r="I5" i="3219"/>
  <c r="M17" i="3219"/>
  <c r="Q17" i="3219"/>
  <c r="E9" i="3219"/>
  <c r="Q6" i="3219"/>
  <c r="Q13" i="3219"/>
  <c r="Q7" i="3219"/>
  <c r="Q15" i="3219"/>
  <c r="Q3" i="3219"/>
  <c r="Q11" i="3219"/>
  <c r="Q19" i="3219"/>
  <c r="E4" i="3219"/>
  <c r="G4" i="3219"/>
  <c r="M4" i="3219"/>
  <c r="Q4" i="3219"/>
  <c r="E8" i="3219"/>
  <c r="G8" i="3219"/>
  <c r="M8" i="3219"/>
  <c r="Q8" i="3219"/>
  <c r="G9" i="3219"/>
  <c r="I9" i="3219"/>
  <c r="E12" i="3219"/>
  <c r="G12" i="3219"/>
  <c r="M12" i="3219"/>
  <c r="Q12" i="3219"/>
  <c r="G13" i="3219"/>
  <c r="I13" i="3219"/>
  <c r="E16" i="3219"/>
  <c r="G16" i="3219"/>
  <c r="M16" i="3219"/>
  <c r="Q16" i="3219"/>
  <c r="G17" i="3219"/>
  <c r="I17" i="3219"/>
  <c r="E3" i="3219"/>
  <c r="E7" i="3219"/>
  <c r="E11" i="3219"/>
  <c r="E15" i="3219"/>
  <c r="E19" i="3219"/>
  <c r="E2" i="3219"/>
  <c r="E6" i="3219"/>
  <c r="E10" i="3219"/>
  <c r="E14" i="3219"/>
  <c r="E18" i="3219"/>
  <c r="G6" i="3219"/>
  <c r="I6" i="3219"/>
  <c r="G11" i="3219"/>
  <c r="I11" i="3219"/>
  <c r="G18" i="3219"/>
  <c r="I18" i="3219"/>
  <c r="G2" i="3219"/>
  <c r="I2" i="3219"/>
  <c r="G7" i="3219"/>
  <c r="I7" i="3219"/>
  <c r="G14" i="3219"/>
  <c r="I14" i="3219"/>
  <c r="G19" i="3219"/>
  <c r="I19" i="3219"/>
  <c r="G3" i="3219"/>
  <c r="I3" i="3219"/>
  <c r="I16" i="3219"/>
  <c r="I12" i="3219"/>
  <c r="G10" i="3219"/>
  <c r="I10" i="3219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<sst xmlns="http://schemas.openxmlformats.org/spreadsheetml/2006/main" count="54885" uniqueCount="24636">
  <si>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</si>
  <si>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</si>
  <si>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</si>
  <si>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</si>
  <si>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</si>
  <si>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</si>
  <si>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</si>
  <si>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</si>
  <si>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</si>
  <si>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</si>
  <si>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</si>
  <si>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</si>
  <si>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</si>
  <si>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</si>
  <si>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</si>
  <si>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</si>
  <si>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</si>
  <si>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</si>
  <si>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</si>
  <si>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</si>
  <si>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</si>
  <si>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</si>
  <si>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</si>
  <si>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</si>
  <si>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</si>
  <si>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</si>
  <si>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</si>
  <si>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</si>
  <si>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</si>
  <si>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</si>
  <si>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</si>
  <si>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</si>
  <si>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</si>
  <si>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</si>
  <si>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</si>
  <si>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</si>
  <si>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</si>
  <si>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</si>
  <si>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</si>
  <si>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</si>
  <si>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</si>
  <si>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</si>
  <si>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</si>
  <si>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</si>
  <si>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</si>
  <si>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</si>
  <si>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indexed="8"/>
        <rFont val="宋体"/>
        <charset val="134"/>
      </rPr>
      <t>功能说明：
1、</t>
    </r>
    <r>
      <rPr>
        <b/>
        <sz val="11"/>
        <color indexed="8"/>
        <rFont val="宋体"/>
        <charset val="134"/>
      </rPr>
      <t>组态数据库</t>
    </r>
    <r>
      <rPr>
        <sz val="10"/>
        <color indexed="8"/>
        <rFont val="宋体"/>
        <charset val="134"/>
      </rPr>
      <t>提取转为M6组态数据可直接导入到M6组态软件；
2、</t>
    </r>
    <r>
      <rPr>
        <b/>
        <sz val="11"/>
        <color indexed="8"/>
        <rFont val="宋体"/>
        <charset val="134"/>
      </rPr>
      <t>控制算法</t>
    </r>
    <r>
      <rPr>
        <sz val="10"/>
        <color indexed="8"/>
        <rFont val="宋体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</si>
  <si>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</si>
  <si>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</si>
  <si>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</si>
  <si>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</si>
  <si>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</si>
  <si>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</si>
  <si>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</si>
  <si>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</si>
  <si>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</si>
  <si>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</si>
  <si>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</si>
  <si>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</si>
  <si>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</si>
  <si>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</si>
  <si>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</si>
  <si>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</si>
  <si>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</si>
  <si>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</si>
  <si>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</si>
  <si>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</si>
  <si>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</si>
  <si>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</si>
  <si>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</si>
  <si>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</si>
  <si>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</si>
  <si>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</si>
  <si>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</si>
  <si>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</si>
  <si>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</si>
  <si>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</si>
  <si>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</si>
  <si>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</si>
  <si>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</si>
  <si>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</si>
  <si>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</si>
  <si>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</si>
  <si>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</si>
  <si>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</si>
  <si>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</si>
  <si>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</si>
  <si>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</si>
  <si>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</si>
  <si>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</si>
  <si>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</si>
  <si>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</si>
  <si>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</si>
  <si>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</si>
  <si>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</si>
  <si>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</si>
  <si>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</si>
  <si>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</si>
  <si>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</si>
  <si>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</si>
  <si>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</si>
  <si>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</si>
  <si>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</si>
  <si>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</si>
  <si>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</si>
  <si>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</si>
  <si>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</si>
  <si>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</si>
  <si>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</si>
  <si>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</si>
  <si>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</si>
  <si>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</si>
  <si>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</si>
  <si>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</si>
  <si>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</si>
  <si>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</si>
  <si>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</si>
  <si>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</si>
  <si>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</si>
  <si>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</si>
  <si>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</si>
  <si>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</si>
  <si>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</si>
  <si>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</si>
  <si>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</si>
  <si>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</si>
  <si>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</si>
  <si>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</si>
  <si>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</si>
  <si>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</si>
  <si>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</si>
  <si>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</si>
  <si>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</si>
  <si>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</si>
  <si>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</si>
  <si>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</si>
  <si>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</si>
  <si>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</si>
  <si>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</si>
  <si>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</si>
  <si>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</si>
  <si>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</si>
  <si>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</si>
  <si>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</si>
  <si>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</si>
  <si>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</si>
  <si>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</si>
  <si>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</si>
  <si>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</si>
  <si>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</si>
  <si>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</si>
  <si>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</si>
  <si>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</si>
  <si>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</si>
  <si>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</si>
  <si>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</si>
  <si>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</si>
  <si>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</si>
  <si>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</si>
  <si>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</si>
  <si>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</si>
  <si>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</si>
  <si>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</si>
  <si>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</si>
  <si>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</si>
  <si>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</si>
  <si>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</si>
  <si>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</si>
  <si>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</si>
  <si>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</si>
  <si>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</si>
  <si>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</si>
  <si>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</si>
  <si>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</si>
  <si>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</si>
  <si>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</si>
  <si>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</si>
  <si>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</si>
  <si>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</si>
  <si>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</si>
  <si>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</si>
  <si>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</si>
  <si>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</si>
  <si>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</si>
  <si>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</si>
  <si>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</si>
  <si>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</si>
  <si>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</si>
  <si>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</si>
  <si>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</si>
  <si>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</si>
  <si>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</si>
  <si>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</si>
  <si>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</si>
  <si>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</si>
  <si>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</si>
  <si>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</si>
  <si>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</si>
  <si>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</si>
  <si>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</si>
  <si>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</si>
  <si>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</si>
  <si>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</si>
  <si>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</si>
  <si>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</si>
  <si>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</si>
  <si>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</si>
  <si>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</si>
  <si>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</si>
  <si>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</si>
  <si>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</si>
  <si>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</si>
  <si>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</si>
  <si>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</si>
  <si>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</si>
  <si>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</si>
  <si>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</si>
  <si>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</si>
  <si>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</si>
  <si>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</si>
  <si>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</si>
  <si>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</si>
  <si>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</si>
  <si>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</si>
  <si>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</si>
  <si>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</si>
  <si>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</si>
  <si>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</si>
  <si>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</si>
  <si>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</si>
  <si>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</si>
  <si>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</si>
  <si>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</si>
  <si>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</si>
  <si>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</si>
  <si>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</si>
  <si>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</si>
  <si>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</si>
  <si>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</si>
  <si>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</si>
  <si>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</si>
  <si>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</si>
  <si>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</si>
  <si>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</si>
  <si>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</si>
  <si>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</si>
  <si>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</si>
  <si>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</si>
  <si>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</si>
  <si>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</si>
  <si>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</si>
  <si>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</si>
  <si>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</si>
  <si>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</si>
  <si>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</si>
  <si>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</si>
  <si>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</si>
  <si>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</si>
  <si>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</si>
  <si>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</si>
  <si>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</si>
  <si>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</si>
  <si>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</si>
  <si>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</si>
  <si>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</si>
  <si>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</si>
  <si>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</si>
  <si>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</si>
  <si>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</si>
  <si>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</si>
  <si>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</si>
  <si>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</si>
  <si>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</si>
  <si>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</si>
  <si>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</si>
  <si>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</si>
  <si>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</si>
  <si>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</si>
  <si>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</si>
  <si>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</si>
  <si>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</si>
  <si>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</si>
  <si>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</si>
  <si>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</si>
  <si>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</si>
  <si>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</si>
  <si>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</si>
  <si>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</si>
  <si>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</si>
  <si>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</si>
  <si>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</si>
  <si>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</si>
  <si>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</si>
  <si>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</si>
  <si>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</si>
  <si>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</si>
  <si>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</si>
  <si>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</si>
  <si>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</si>
  <si>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</si>
  <si>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</si>
  <si>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</si>
  <si>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</si>
  <si>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</si>
  <si>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</si>
  <si>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</si>
  <si>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</si>
  <si>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</si>
  <si>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</si>
  <si>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</si>
  <si>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</si>
  <si>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</si>
  <si>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</si>
  <si>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</si>
  <si>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</si>
  <si>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</si>
  <si>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</si>
  <si>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</si>
  <si>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</si>
  <si>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</si>
  <si>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</si>
  <si>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</si>
  <si>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</si>
  <si>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</si>
  <si>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</si>
  <si>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</si>
  <si>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</si>
  <si>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</si>
  <si>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</si>
  <si>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</si>
  <si>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</si>
  <si>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</si>
  <si>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</si>
  <si>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</si>
  <si>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</si>
  <si>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</si>
  <si>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</si>
  <si>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</si>
  <si>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</si>
  <si>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</si>
  <si>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</si>
  <si>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</si>
  <si>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</si>
  <si>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</si>
  <si>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</si>
  <si>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</si>
  <si>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</si>
  <si>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</si>
  <si>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</si>
  <si>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</si>
  <si>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</si>
  <si>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</si>
  <si>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</si>
  <si>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</si>
  <si>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</si>
  <si>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</si>
  <si>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</si>
  <si>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</si>
  <si>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</si>
  <si>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</si>
  <si>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</si>
  <si>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</si>
  <si>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</si>
  <si>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</si>
  <si>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</si>
  <si>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</si>
  <si>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</si>
  <si>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</si>
  <si>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</si>
  <si>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</si>
  <si>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</si>
  <si>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</si>
  <si>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</si>
  <si>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</si>
  <si>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</si>
  <si>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</si>
  <si>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</si>
  <si>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</si>
  <si>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</si>
  <si>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</si>
  <si>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</si>
  <si>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</si>
  <si>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</si>
  <si>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</si>
  <si>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</si>
  <si>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</si>
  <si>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</si>
  <si>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</si>
  <si>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</si>
  <si>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</si>
  <si>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</si>
  <si>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</si>
  <si>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</si>
  <si>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</si>
  <si>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</si>
  <si>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</si>
  <si>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</si>
  <si>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</si>
  <si>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</si>
  <si>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</si>
  <si>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</si>
  <si>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</si>
  <si>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</si>
  <si>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</si>
  <si>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</si>
  <si>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</si>
  <si>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</si>
  <si>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</si>
  <si>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</si>
  <si>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</si>
  <si>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</si>
  <si>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</si>
  <si>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</si>
  <si>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</si>
  <si>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</si>
  <si>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</si>
  <si>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</si>
  <si>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</si>
  <si>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</si>
  <si>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</si>
  <si>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</si>
  <si>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</si>
  <si>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</si>
  <si>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</si>
  <si>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</si>
  <si>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</si>
  <si>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</si>
  <si>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</si>
  <si>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</si>
  <si>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</si>
  <si>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</si>
  <si>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</si>
  <si>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</si>
  <si>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</si>
  <si>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</si>
  <si>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</si>
  <si>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</si>
  <si>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</si>
  <si>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</si>
  <si>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</si>
  <si>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</si>
  <si>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</si>
  <si>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</si>
  <si>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</si>
  <si>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</si>
  <si>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</si>
  <si>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</si>
  <si>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</si>
  <si>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</si>
  <si>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</si>
  <si>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</si>
  <si>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</si>
  <si>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</si>
  <si>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</si>
  <si>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</si>
  <si>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</si>
  <si>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</si>
  <si>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</si>
  <si>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</si>
  <si>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</si>
  <si>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</si>
  <si>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</si>
  <si>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</si>
  <si>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</si>
  <si>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</si>
  <si>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</si>
  <si>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</si>
  <si>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</si>
  <si>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</si>
  <si>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</si>
  <si>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</si>
  <si>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</si>
  <si>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</si>
  <si>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</si>
  <si>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</si>
  <si>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</si>
  <si>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</si>
  <si>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</si>
  <si>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</si>
  <si>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</si>
  <si>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</si>
  <si>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</si>
  <si>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</si>
  <si>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</si>
  <si>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</si>
  <si>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</si>
  <si>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</si>
  <si>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</si>
  <si>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</si>
  <si>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</si>
  <si>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</si>
  <si>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</si>
  <si>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</si>
  <si>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</si>
  <si>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</si>
  <si>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</si>
  <si>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</si>
  <si>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</si>
  <si>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</si>
  <si>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</si>
  <si>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</si>
  <si>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</si>
  <si>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</si>
  <si>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</si>
  <si>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</si>
  <si>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</si>
  <si>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</si>
  <si>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</si>
  <si>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</si>
  <si>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</si>
  <si>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</si>
  <si>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</si>
  <si>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</si>
  <si>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</si>
  <si>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</si>
  <si>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</si>
  <si>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</si>
  <si>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</si>
  <si>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</si>
  <si>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</si>
  <si>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</si>
  <si>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</si>
  <si>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</si>
  <si>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</si>
  <si>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</si>
  <si>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</si>
  <si>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</si>
  <si>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</si>
  <si>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</si>
  <si>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</si>
  <si>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</si>
  <si>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</si>
  <si>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</si>
  <si>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</si>
  <si>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</si>
  <si>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</si>
  <si>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</si>
  <si>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</si>
  <si>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</si>
  <si>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</si>
  <si>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</si>
  <si>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</si>
  <si>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</si>
  <si>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</si>
  <si>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</si>
  <si>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</si>
  <si>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</si>
  <si>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</si>
  <si>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</si>
  <si>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</si>
  <si>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</si>
  <si>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</si>
  <si>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</si>
  <si>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</si>
  <si>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</si>
  <si>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</si>
  <si>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</si>
  <si>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</si>
  <si>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</si>
  <si>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</si>
  <si>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</si>
  <si>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</si>
  <si>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</si>
  <si>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</si>
  <si>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</si>
  <si>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</si>
  <si>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</si>
  <si>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</si>
  <si>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</si>
  <si>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</si>
  <si>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</si>
  <si>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</si>
  <si>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</si>
  <si>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</si>
  <si>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</si>
  <si>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</si>
  <si>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</si>
  <si>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</si>
  <si>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</si>
  <si>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</si>
  <si>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</si>
  <si>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</si>
  <si>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</si>
  <si>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</si>
  <si>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</si>
  <si>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</si>
  <si>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</si>
  <si>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</si>
  <si>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</si>
  <si>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</si>
  <si>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</si>
  <si>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</si>
  <si>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</si>
  <si>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</si>
  <si>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</si>
  <si>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</si>
  <si>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</si>
  <si>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</si>
  <si>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</si>
  <si>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</si>
  <si>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</si>
  <si>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</si>
  <si>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</si>
  <si>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</si>
  <si>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</si>
  <si>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</si>
  <si>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</si>
  <si>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</si>
  <si>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</si>
  <si>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</si>
  <si>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</si>
  <si>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</si>
  <si>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</si>
  <si>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</si>
  <si>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</si>
  <si>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</si>
  <si>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</si>
  <si>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</si>
  <si>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</si>
  <si>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</si>
  <si>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</si>
  <si>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</si>
  <si>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</si>
  <si>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</si>
  <si>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</si>
  <si>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</si>
  <si>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</si>
  <si>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</si>
  <si>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</si>
  <si>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</si>
  <si>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</si>
  <si>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</si>
  <si>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</si>
  <si>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</si>
  <si>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</si>
  <si>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</si>
  <si>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</si>
  <si>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</si>
  <si>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</si>
  <si>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</si>
  <si>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</si>
  <si>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</si>
  <si>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</si>
  <si>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</si>
  <si>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</si>
  <si>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</si>
  <si>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</si>
  <si>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</si>
  <si>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</si>
  <si>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</si>
  <si>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</si>
  <si>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</si>
  <si>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</si>
  <si>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</si>
  <si>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</si>
  <si>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</si>
  <si>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</si>
  <si>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</si>
  <si>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</si>
  <si>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</si>
  <si>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</si>
  <si>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</si>
  <si>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</si>
  <si>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</si>
  <si>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</si>
  <si>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</si>
  <si>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</si>
  <si>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</si>
  <si>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</si>
  <si>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</si>
  <si>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</si>
  <si>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</si>
  <si>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</si>
  <si>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</si>
  <si>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</si>
  <si>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</si>
  <si>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</si>
  <si>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</si>
  <si>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</si>
  <si>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</si>
  <si>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</si>
  <si>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</si>
  <si>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</si>
  <si>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</si>
  <si>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</si>
  <si>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</si>
  <si>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</si>
  <si>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</si>
  <si>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</si>
  <si>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</si>
  <si>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</si>
  <si>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</si>
  <si>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</si>
  <si>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</si>
  <si>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</si>
  <si>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</si>
  <si>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</si>
  <si>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</si>
  <si>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</si>
  <si>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</si>
  <si>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</si>
  <si>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</si>
  <si>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</si>
  <si>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</si>
  <si>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</si>
  <si>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</si>
  <si>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</si>
  <si>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</si>
  <si>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</si>
  <si>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</si>
  <si>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</si>
  <si>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</si>
  <si>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</si>
  <si>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</si>
  <si>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</si>
  <si>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</si>
  <si>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</si>
  <si>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</si>
  <si>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</si>
  <si>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</si>
  <si>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</si>
  <si>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</si>
  <si>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</si>
  <si>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</si>
  <si>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</si>
  <si>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</si>
  <si>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</si>
  <si>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</si>
  <si>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</si>
  <si>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</si>
  <si>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</si>
  <si>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</si>
  <si>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</si>
  <si>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</si>
  <si>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</si>
  <si>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</si>
  <si>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</si>
  <si>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</si>
  <si>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</si>
  <si>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</si>
  <si>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</si>
  <si>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</si>
  <si>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</si>
  <si>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</si>
  <si>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</si>
  <si>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</si>
  <si>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</si>
  <si>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</si>
  <si>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</si>
  <si>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</si>
  <si>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</si>
  <si>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</si>
  <si>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</si>
  <si>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</si>
  <si>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</si>
  <si>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</si>
  <si>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</si>
  <si>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</si>
  <si>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</si>
  <si>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</si>
  <si>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</si>
  <si>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</si>
  <si>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</si>
  <si>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</si>
  <si>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</si>
  <si>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</si>
  <si>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</si>
  <si>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</si>
  <si>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</si>
  <si>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</si>
  <si>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</si>
  <si>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</si>
  <si>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</si>
  <si>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</si>
  <si>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</si>
  <si>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</si>
  <si>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</si>
  <si>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</si>
  <si>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</si>
  <si>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</si>
  <si>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</si>
  <si>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</si>
  <si>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</si>
  <si>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</si>
  <si>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</si>
  <si>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</si>
  <si>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</si>
  <si>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</si>
  <si>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</si>
  <si>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</si>
  <si>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</si>
  <si>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</si>
  <si>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</si>
  <si>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</si>
  <si>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</si>
  <si>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</si>
  <si>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</si>
  <si>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</si>
  <si>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</si>
  <si>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</si>
  <si>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</si>
  <si>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</si>
  <si>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</si>
  <si>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</si>
  <si>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</si>
  <si>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</si>
  <si>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</si>
  <si>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</si>
  <si>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</si>
  <si>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</si>
  <si>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</si>
  <si>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</si>
  <si>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</si>
  <si>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</si>
  <si>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</si>
  <si>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</si>
  <si>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</si>
  <si>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</si>
  <si>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</si>
  <si>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</si>
  <si>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</si>
  <si>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</si>
  <si>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</si>
  <si>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</si>
  <si>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</si>
  <si>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</si>
  <si>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</si>
  <si>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</si>
  <si>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</si>
  <si>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</si>
  <si>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</si>
  <si>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</si>
  <si>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</si>
  <si>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</si>
  <si>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</si>
  <si>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</si>
  <si>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</si>
  <si>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</si>
  <si>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</si>
  <si>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</si>
  <si>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</si>
  <si>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</si>
  <si>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</si>
  <si>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</si>
  <si>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</si>
  <si>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</si>
  <si>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</si>
  <si>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</si>
  <si>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</si>
  <si>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</si>
  <si>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</si>
  <si>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</si>
  <si>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</si>
  <si>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</si>
  <si>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</si>
  <si>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</si>
  <si>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</si>
  <si>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</si>
  <si>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</si>
  <si>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</si>
  <si>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</si>
  <si>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</si>
  <si>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</si>
  <si>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</si>
  <si>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</si>
  <si>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</si>
  <si>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</si>
  <si>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</si>
  <si>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</si>
  <si>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</si>
  <si>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</si>
  <si>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</si>
  <si>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</si>
  <si>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</si>
  <si>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</si>
  <si>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</si>
  <si>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</si>
  <si>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</si>
  <si>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</si>
  <si>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</si>
  <si>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</si>
  <si>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</si>
  <si>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</si>
  <si>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</si>
  <si>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</si>
  <si>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</si>
  <si>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</si>
  <si>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</si>
  <si>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</si>
  <si>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</si>
  <si>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</si>
  <si>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</si>
  <si>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</si>
  <si>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</si>
  <si>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</si>
  <si>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</si>
  <si>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</si>
  <si>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</si>
  <si>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</si>
  <si>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</si>
  <si>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</si>
  <si>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</si>
  <si>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</si>
  <si>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</si>
  <si>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</si>
  <si>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</si>
  <si>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</si>
  <si>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</si>
  <si>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</si>
  <si>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</si>
  <si>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</si>
  <si>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</si>
  <si>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</si>
  <si>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</si>
  <si>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</si>
  <si>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</si>
  <si>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</si>
  <si>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</si>
  <si>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</si>
  <si>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</si>
  <si>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</si>
  <si>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</si>
  <si>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</si>
  <si>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</si>
  <si>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</si>
  <si>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</si>
  <si>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</si>
  <si>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</si>
  <si>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</si>
  <si>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</si>
  <si>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</si>
  <si>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</si>
  <si>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</si>
  <si>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</si>
  <si>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</si>
  <si>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</si>
  <si>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</si>
  <si>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</si>
  <si>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</si>
  <si>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</si>
  <si>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</si>
  <si>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</si>
  <si>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</si>
  <si>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</si>
  <si>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</si>
  <si>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</si>
  <si>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</si>
  <si>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</si>
  <si>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</si>
  <si>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</si>
  <si>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</si>
  <si>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</si>
  <si>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</si>
  <si>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</si>
  <si>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</si>
  <si>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</si>
  <si>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</si>
  <si>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</si>
  <si>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</si>
  <si>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</si>
  <si>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</si>
  <si>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</si>
  <si>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</si>
  <si>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</si>
  <si>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</si>
  <si>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</si>
  <si>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</si>
  <si>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</si>
  <si>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</si>
  <si>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</si>
  <si>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</si>
  <si>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</si>
  <si>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</si>
  <si>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</si>
  <si>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</si>
  <si>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</si>
  <si>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</si>
  <si>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</si>
  <si>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</si>
  <si>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</si>
  <si>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</si>
  <si>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</si>
  <si>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</si>
  <si>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</si>
  <si>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</si>
  <si>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</si>
  <si>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</si>
  <si>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</si>
  <si>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</si>
  <si>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</si>
  <si>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</si>
  <si>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</si>
  <si>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</si>
  <si>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</si>
  <si>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</si>
  <si>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</si>
  <si>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</si>
  <si>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</si>
  <si>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</si>
  <si>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</si>
  <si>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</si>
  <si>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</si>
  <si>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</si>
  <si>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</si>
  <si>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</si>
  <si>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</si>
  <si>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</si>
  <si>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</si>
  <si>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</si>
  <si>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</si>
  <si>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</si>
  <si>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</si>
  <si>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</si>
  <si>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</si>
  <si>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</si>
  <si>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</si>
  <si>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</si>
  <si>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</si>
  <si>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</si>
  <si>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</si>
  <si>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</si>
  <si>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</si>
  <si>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</si>
  <si>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</si>
  <si>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</si>
  <si>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</si>
  <si>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</si>
  <si>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</si>
  <si>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</si>
  <si>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</si>
  <si>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</si>
  <si>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</si>
  <si>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</si>
  <si>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</si>
  <si>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</si>
  <si>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</si>
  <si>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</si>
  <si>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</si>
  <si>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</si>
  <si>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</si>
  <si>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</si>
  <si>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</si>
  <si>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</si>
  <si>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</si>
  <si>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</si>
  <si>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</si>
  <si>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</si>
  <si>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</si>
  <si>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</si>
  <si>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</si>
  <si>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</si>
  <si>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</si>
  <si>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</si>
  <si>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</si>
  <si>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</si>
  <si>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</si>
  <si>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</si>
  <si>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</si>
  <si>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</si>
  <si>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</si>
  <si>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</si>
  <si>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</si>
  <si>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</si>
  <si>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</si>
  <si>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</si>
  <si>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</si>
  <si>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</si>
  <si>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</si>
  <si>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</si>
  <si>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</si>
  <si>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</si>
  <si>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</si>
  <si>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</si>
  <si>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</si>
  <si>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</si>
  <si>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</si>
  <si>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</si>
  <si>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</si>
  <si>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</si>
  <si>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</si>
  <si>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</si>
  <si>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</si>
  <si>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</si>
  <si>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</si>
  <si>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</si>
  <si>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</si>
  <si>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</si>
  <si>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</si>
  <si>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</si>
  <si>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</si>
  <si>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</si>
  <si>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</si>
  <si>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</si>
  <si>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</si>
  <si>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</si>
  <si>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</si>
  <si>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</si>
  <si>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</si>
  <si>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</si>
  <si>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</si>
  <si>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</si>
  <si>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</si>
  <si>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</si>
  <si>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</si>
  <si>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</si>
  <si>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</si>
  <si>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</si>
  <si>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</si>
  <si>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</si>
  <si>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</si>
  <si>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</si>
  <si>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</si>
  <si>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</si>
  <si>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</si>
  <si>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</si>
  <si>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</si>
  <si>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</si>
  <si>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</si>
  <si>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</si>
  <si>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</si>
  <si>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</si>
  <si>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</si>
  <si>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</si>
  <si>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</si>
  <si>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</si>
  <si>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</si>
  <si>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</si>
  <si>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</si>
  <si>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</si>
  <si>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</si>
  <si>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</si>
  <si>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</si>
  <si>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</si>
  <si>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</si>
  <si>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</si>
  <si>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</si>
  <si>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</si>
  <si>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</si>
  <si>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</si>
  <si>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</si>
  <si>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</si>
  <si>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</si>
  <si>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</si>
  <si>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</si>
  <si>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</si>
  <si>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</si>
  <si>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</si>
  <si>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</si>
  <si>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</si>
  <si>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</si>
  <si>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</si>
  <si>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</si>
  <si>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</si>
  <si>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</si>
  <si>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</si>
  <si>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</si>
  <si>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</si>
  <si>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</si>
  <si>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</si>
  <si>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</si>
  <si>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</si>
  <si>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</si>
  <si>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</si>
  <si>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</si>
  <si>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</si>
  <si>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</si>
  <si>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</si>
  <si>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</si>
  <si>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</si>
  <si>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</si>
  <si>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</si>
  <si>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</si>
  <si>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</si>
  <si>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</si>
  <si>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</si>
  <si>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</si>
  <si>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</si>
  <si>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</si>
  <si>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</si>
  <si>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</si>
  <si>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</si>
  <si>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</si>
  <si>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</si>
  <si>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</si>
  <si>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</si>
  <si>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</si>
  <si>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</si>
  <si>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</si>
  <si>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</si>
  <si>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</si>
  <si>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</si>
  <si>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</si>
  <si>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</si>
  <si>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</si>
  <si>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</si>
  <si>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</si>
  <si>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</si>
  <si>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</si>
  <si>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</si>
  <si>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</si>
  <si>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</si>
  <si>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</si>
  <si>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</si>
  <si>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</si>
  <si>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</si>
  <si>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</si>
  <si>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</si>
  <si>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</si>
  <si>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</si>
  <si>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</si>
  <si>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</si>
  <si>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</si>
  <si>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</si>
  <si>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</si>
  <si>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</si>
  <si>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</si>
  <si>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</si>
  <si>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</si>
  <si>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</si>
  <si>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</si>
  <si>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</si>
  <si>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</si>
  <si>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</si>
  <si>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</si>
  <si>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</si>
  <si>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</si>
  <si>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</si>
  <si>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</si>
  <si>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</si>
  <si>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</si>
  <si>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</si>
  <si>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</si>
  <si>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</si>
  <si>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</si>
  <si>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</si>
  <si>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</si>
  <si>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</si>
  <si>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</si>
  <si>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</si>
  <si>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</si>
  <si>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</si>
  <si>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</si>
  <si>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</si>
  <si>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</si>
  <si>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</si>
  <si>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</si>
  <si>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</si>
  <si>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</si>
  <si>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</si>
  <si>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</si>
  <si>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</si>
  <si>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</si>
  <si>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</si>
  <si>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</si>
  <si>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</si>
  <si>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</si>
  <si>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</si>
  <si>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</si>
  <si>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</si>
  <si>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</si>
  <si>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</si>
  <si>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</si>
  <si>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</si>
  <si>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</si>
  <si>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</si>
  <si>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</si>
  <si>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</si>
  <si>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</si>
  <si>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</si>
  <si>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</si>
  <si>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</si>
  <si>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</si>
  <si>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</si>
  <si>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</si>
  <si>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</si>
  <si>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</si>
  <si>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</si>
  <si>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</si>
  <si>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</si>
  <si>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</si>
  <si>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</si>
  <si>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</si>
  <si>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</si>
  <si>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</si>
  <si>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</si>
  <si>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</si>
  <si>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</si>
  <si>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</si>
  <si>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</si>
  <si>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</si>
  <si>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</si>
  <si>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</si>
  <si>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</si>
  <si>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</si>
  <si>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</si>
  <si>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</si>
  <si>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</si>
  <si>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</si>
  <si>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</si>
  <si>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</si>
  <si>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</si>
  <si>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</si>
  <si>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</si>
  <si>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</si>
  <si>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</si>
  <si>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</si>
  <si>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</si>
  <si>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</si>
  <si>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</si>
  <si>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</si>
  <si>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</si>
  <si>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</si>
  <si>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</si>
  <si>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</si>
  <si>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</si>
  <si>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</si>
  <si>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</si>
  <si>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</si>
  <si>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</si>
  <si>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</si>
  <si>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</si>
  <si>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</si>
  <si>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</si>
  <si>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</si>
  <si>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</si>
  <si>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</si>
  <si>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</si>
  <si>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</si>
  <si>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</si>
  <si>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</si>
  <si>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</si>
  <si>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</si>
  <si>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</si>
  <si>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</si>
  <si>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</si>
  <si>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</si>
  <si>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</si>
  <si>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</si>
  <si>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</si>
  <si>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</si>
  <si>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</si>
  <si>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</si>
  <si>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</si>
  <si>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</si>
  <si>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</si>
  <si>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</si>
  <si>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</si>
  <si>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</si>
  <si>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</si>
  <si>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</si>
  <si>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</si>
  <si>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</si>
  <si>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</si>
  <si>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</si>
  <si>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</si>
  <si>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</si>
  <si>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</si>
  <si>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</si>
  <si>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</si>
  <si>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</si>
  <si>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</si>
  <si>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</si>
  <si>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</si>
  <si>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</si>
  <si>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</si>
  <si>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</si>
  <si>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</si>
  <si>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</si>
  <si>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</si>
  <si>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</si>
  <si>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</si>
  <si>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</si>
  <si>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</si>
  <si>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</si>
  <si>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</si>
  <si>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</si>
  <si>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</si>
  <si>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</si>
  <si>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</si>
  <si>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</si>
  <si>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</si>
  <si>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</si>
  <si>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</si>
  <si>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</si>
  <si>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</si>
  <si>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</si>
  <si>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</si>
  <si>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</si>
  <si>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</si>
  <si>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</si>
  <si>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</si>
  <si>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</si>
  <si>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</si>
  <si>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</si>
  <si>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</si>
  <si>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</si>
  <si>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</si>
  <si>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</si>
  <si>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</si>
  <si>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</si>
  <si>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</si>
  <si>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</si>
  <si>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</si>
  <si>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</si>
  <si>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</si>
  <si>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</si>
  <si>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</si>
  <si>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</si>
  <si>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</si>
  <si>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</si>
  <si>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</si>
  <si>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</si>
  <si>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</si>
  <si>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</si>
  <si>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</si>
  <si>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</si>
  <si>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</si>
  <si>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</si>
  <si>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</si>
  <si>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</si>
  <si>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</si>
  <si>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</si>
  <si>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</si>
  <si>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</si>
  <si>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</si>
  <si>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</si>
  <si>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</si>
  <si>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</si>
  <si>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</si>
  <si>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</si>
  <si>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</si>
  <si>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</si>
  <si>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</si>
  <si>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</si>
  <si>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</si>
  <si>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</si>
  <si>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</si>
  <si>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</si>
  <si>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</si>
  <si>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</si>
  <si>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</si>
  <si>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</si>
  <si>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</si>
  <si>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</si>
  <si>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</si>
  <si>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</si>
  <si>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</si>
  <si>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</si>
  <si>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</si>
  <si>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</si>
  <si>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</si>
  <si>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</si>
  <si>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</si>
  <si>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</si>
  <si>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</si>
  <si>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</si>
  <si>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</si>
  <si>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</si>
  <si>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</si>
  <si>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</si>
  <si>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</si>
  <si>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</si>
  <si>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</si>
  <si>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</si>
  <si>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</si>
  <si>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</si>
  <si>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</si>
  <si>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</si>
  <si>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</si>
  <si>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</si>
  <si>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</si>
  <si>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</si>
  <si>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</si>
  <si>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</si>
  <si>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</si>
  <si>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</si>
  <si>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</si>
  <si>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</si>
  <si>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</si>
  <si>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</si>
  <si>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</si>
  <si>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</si>
  <si>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</si>
  <si>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</si>
  <si>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</si>
  <si>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</si>
  <si>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</si>
  <si>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</si>
  <si>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</si>
  <si>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</si>
  <si>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</si>
  <si>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</si>
  <si>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</si>
  <si>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</si>
  <si>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</si>
  <si>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</si>
  <si>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</si>
  <si>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</si>
  <si>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</si>
  <si>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</si>
  <si>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</si>
  <si>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</si>
  <si>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</si>
  <si>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</si>
  <si>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</si>
  <si>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</si>
  <si>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</si>
  <si>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</si>
  <si>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</si>
  <si>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</si>
  <si>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</si>
  <si>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</si>
  <si>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</si>
  <si>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</si>
  <si>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</si>
  <si>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</si>
  <si>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</si>
  <si>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</si>
  <si>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</si>
  <si>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</si>
  <si>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</si>
  <si>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</si>
  <si>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</si>
  <si>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</si>
  <si>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</si>
  <si>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</si>
  <si>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</si>
  <si>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</si>
  <si>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</si>
  <si>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</si>
  <si>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</si>
  <si>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</si>
  <si>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</si>
  <si>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</si>
  <si>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</si>
  <si>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</si>
  <si>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</si>
  <si>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</si>
  <si>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</si>
  <si>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</si>
  <si>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</si>
  <si>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</si>
  <si>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</si>
  <si>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</si>
  <si>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</si>
  <si>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</si>
  <si>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</si>
  <si>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</si>
  <si>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</si>
  <si>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</si>
  <si>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</si>
  <si>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</si>
  <si>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</si>
  <si>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</si>
  <si>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</si>
  <si>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</si>
  <si>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</si>
  <si>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</si>
  <si>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</si>
  <si>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</si>
  <si>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</si>
  <si>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</si>
  <si>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</si>
  <si>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</si>
  <si>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</si>
  <si>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</si>
  <si>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</si>
  <si>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</si>
  <si>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</si>
  <si>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</si>
  <si>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</si>
  <si>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</si>
  <si>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</si>
  <si>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</si>
  <si>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</si>
  <si>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</si>
  <si>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</si>
  <si>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</si>
  <si>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</si>
  <si>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</si>
  <si>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</si>
  <si>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</si>
  <si>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</si>
  <si>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</si>
  <si>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</si>
  <si>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</si>
  <si>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</si>
  <si>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</si>
  <si>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</si>
  <si>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</si>
  <si>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</si>
  <si>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</si>
  <si>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</si>
  <si>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</si>
  <si>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</si>
  <si>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</si>
  <si>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</si>
  <si>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</si>
  <si>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</si>
  <si>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</si>
  <si>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</si>
  <si>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</si>
  <si>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</si>
  <si>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</si>
  <si>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</si>
  <si>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</si>
  <si>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</si>
  <si>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</si>
  <si>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</si>
  <si>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</si>
  <si>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</si>
  <si>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</si>
  <si>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</si>
  <si>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</si>
  <si>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</si>
  <si>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</si>
  <si>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</si>
  <si>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</si>
  <si>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</si>
  <si>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</si>
  <si>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</si>
  <si>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</si>
  <si>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</si>
  <si>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</si>
  <si>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</si>
  <si>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</si>
  <si>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</si>
  <si>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</si>
  <si>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</si>
  <si>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</si>
  <si>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</si>
  <si>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</si>
  <si>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</si>
  <si>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</si>
  <si>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</si>
  <si>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</si>
  <si>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</si>
  <si>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</si>
  <si>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</si>
  <si>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</si>
  <si>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</si>
  <si>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</si>
  <si>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</si>
  <si>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</si>
  <si>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</si>
  <si>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</si>
  <si>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</si>
  <si>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</si>
  <si>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</si>
  <si>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</si>
  <si>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</si>
  <si>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</si>
  <si>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</si>
  <si>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</si>
  <si>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</si>
  <si>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</si>
  <si>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</si>
  <si>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</si>
  <si>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</si>
  <si>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</si>
  <si>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</si>
  <si>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</si>
  <si>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</si>
  <si>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</si>
  <si>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</si>
  <si>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</si>
  <si>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</si>
  <si>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</si>
  <si>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</si>
  <si>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</si>
  <si>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</si>
  <si>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</si>
  <si>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</si>
  <si>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</si>
  <si>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</si>
  <si>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</si>
  <si>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</si>
  <si>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</si>
  <si>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</si>
  <si>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</si>
  <si>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</si>
  <si>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</si>
  <si>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</si>
  <si>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</si>
  <si>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</si>
  <si>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</si>
  <si>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</si>
  <si>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</si>
  <si>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</si>
  <si>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</si>
  <si>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</si>
  <si>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</si>
  <si>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</si>
  <si>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</si>
  <si>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</si>
  <si>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</si>
  <si>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</si>
  <si>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</si>
  <si>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</si>
  <si>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</si>
  <si>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</si>
  <si>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</si>
  <si>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</si>
  <si>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</si>
  <si>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</si>
  <si>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</si>
  <si>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</si>
  <si>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</si>
  <si>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</si>
  <si>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</si>
  <si>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</si>
  <si>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</si>
  <si>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</si>
  <si>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</si>
  <si>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</si>
  <si>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</si>
  <si>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</si>
  <si>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</si>
  <si>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</si>
  <si>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</si>
  <si>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</si>
  <si>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</si>
  <si>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</si>
  <si>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</si>
  <si>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</si>
  <si>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</si>
  <si>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</si>
  <si>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</si>
  <si>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</si>
  <si>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</si>
  <si>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</si>
  <si>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</si>
  <si>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</si>
  <si>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</si>
  <si>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</si>
  <si>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</si>
  <si>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</si>
  <si>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</si>
  <si>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</si>
  <si>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</si>
  <si>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</si>
  <si>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</si>
  <si>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</si>
  <si>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</si>
  <si>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</si>
  <si>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</si>
  <si>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</si>
  <si>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</si>
  <si>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</si>
  <si>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</si>
  <si>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</si>
  <si>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</si>
  <si>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</si>
  <si>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</si>
  <si>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</si>
  <si>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</si>
  <si>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</si>
  <si>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</si>
  <si>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</si>
  <si>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</si>
  <si>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</si>
  <si>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</si>
  <si>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</si>
  <si>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</si>
  <si>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</si>
  <si>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</si>
  <si>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</si>
  <si>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</si>
  <si>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</si>
  <si>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</si>
  <si>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</si>
  <si>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</si>
  <si>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</si>
  <si>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</si>
  <si>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</si>
  <si>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</si>
  <si>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</si>
  <si>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</si>
  <si>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</si>
  <si>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</si>
  <si>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</si>
  <si>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</si>
  <si>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</si>
  <si>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</si>
  <si>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</si>
  <si>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</si>
  <si>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</si>
  <si>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</si>
  <si>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</si>
  <si>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</si>
  <si>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</si>
  <si>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</si>
  <si>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</si>
  <si>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</si>
  <si>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</si>
  <si>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</si>
  <si>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</si>
  <si>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</si>
  <si>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</si>
  <si>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</si>
  <si>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</si>
  <si>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</si>
  <si>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</si>
  <si>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</si>
  <si>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</si>
  <si>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</si>
  <si>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</si>
  <si>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</si>
  <si>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</si>
  <si>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</si>
  <si>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</si>
  <si>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</si>
  <si>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</si>
  <si>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</si>
  <si>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</si>
  <si>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</si>
  <si>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</si>
  <si>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</si>
  <si>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</si>
  <si>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</si>
  <si>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</si>
  <si>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</si>
  <si>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</si>
  <si>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</si>
  <si>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</si>
  <si>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</si>
  <si>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</si>
  <si>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</si>
  <si>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</si>
  <si>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</si>
  <si>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</si>
  <si>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</si>
  <si>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</si>
  <si>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</si>
  <si>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</si>
  <si>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</si>
  <si>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</si>
  <si>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</si>
  <si>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</si>
  <si>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</si>
  <si>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</si>
  <si>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</si>
  <si>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</si>
  <si>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</si>
  <si>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</si>
  <si>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</si>
  <si>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</si>
  <si>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</si>
  <si>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</si>
  <si>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</si>
  <si>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</si>
  <si>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</si>
  <si>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</si>
  <si>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</si>
  <si>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</si>
  <si>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</si>
  <si>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</si>
  <si>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</si>
  <si>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</si>
  <si>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</si>
  <si>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</si>
  <si>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</si>
  <si>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</si>
  <si>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</si>
  <si>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</si>
  <si>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</si>
  <si>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</si>
  <si>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</si>
  <si>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</si>
  <si>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</si>
  <si>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</si>
  <si>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</si>
  <si>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</si>
  <si>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</si>
  <si>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</si>
  <si>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</si>
  <si>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</si>
  <si>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</si>
  <si>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</si>
  <si>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</si>
  <si>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</si>
  <si>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</si>
  <si>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</si>
  <si>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</si>
  <si>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</si>
  <si>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</si>
  <si>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</si>
  <si>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</si>
  <si>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</si>
  <si>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</si>
  <si>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</si>
  <si>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</si>
  <si>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</si>
  <si>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</si>
  <si>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</si>
  <si>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</si>
  <si>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</si>
  <si>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</si>
  <si>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</si>
  <si>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</si>
  <si>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</si>
  <si>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</si>
  <si>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</si>
  <si>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</si>
  <si>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</si>
  <si>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</si>
  <si>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</si>
  <si>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</si>
  <si>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</si>
  <si>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</si>
  <si>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</si>
  <si>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</si>
  <si>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</si>
  <si>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</si>
  <si>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</si>
  <si>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</si>
  <si>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</si>
  <si>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</si>
  <si>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</si>
  <si>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</si>
  <si>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</si>
  <si>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</si>
  <si>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</si>
  <si>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</si>
  <si>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</si>
  <si>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</si>
  <si>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</si>
  <si>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</si>
  <si>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</si>
  <si>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</si>
  <si>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</si>
  <si>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</si>
  <si>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</si>
  <si>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</si>
  <si>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</si>
  <si>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</si>
  <si>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</si>
  <si>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</si>
  <si>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</si>
  <si>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</si>
  <si>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</si>
  <si>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</si>
  <si>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</si>
  <si>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</si>
  <si>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</si>
  <si>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</si>
  <si>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</si>
  <si>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</si>
  <si>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</si>
  <si>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</si>
  <si>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</si>
  <si>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</si>
  <si>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</si>
  <si>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</si>
  <si>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</si>
  <si>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</si>
  <si>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</si>
  <si>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</si>
  <si>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</si>
  <si>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</si>
  <si>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</si>
  <si>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</si>
  <si>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</si>
  <si>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</si>
  <si>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</si>
  <si>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</si>
  <si>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</si>
  <si>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</si>
  <si>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</si>
  <si>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</si>
  <si>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</si>
  <si>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</si>
  <si>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</si>
  <si>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</si>
  <si>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</si>
  <si>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</si>
  <si>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</si>
  <si>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</si>
  <si>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</si>
  <si>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</si>
  <si>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</si>
  <si>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</si>
  <si>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</si>
  <si>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</si>
  <si>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</si>
  <si>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</si>
  <si>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</si>
  <si>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</si>
  <si>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</si>
  <si>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</si>
  <si>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</si>
  <si>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</si>
  <si>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</si>
  <si>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</si>
  <si>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</si>
  <si>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</si>
  <si>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</si>
  <si>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</si>
  <si>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</si>
  <si>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</si>
  <si>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</si>
  <si>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</si>
  <si>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</si>
  <si>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</si>
  <si>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</si>
  <si>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</si>
  <si>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</si>
  <si>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</si>
  <si>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</si>
  <si>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</si>
  <si>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</si>
  <si>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</si>
  <si>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</si>
  <si>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</si>
  <si>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</si>
  <si>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</si>
  <si>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</si>
  <si>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</si>
  <si>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</si>
  <si>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</si>
  <si>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</si>
  <si>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</si>
  <si>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</si>
  <si>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</si>
  <si>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</si>
  <si>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</si>
  <si>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</si>
  <si>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</si>
  <si>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</si>
  <si>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</si>
  <si>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</si>
  <si>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</si>
  <si>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</si>
  <si>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</si>
  <si>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</si>
  <si>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</si>
  <si>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</si>
  <si>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</si>
  <si>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</si>
  <si>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</si>
  <si>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</si>
  <si>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</si>
  <si>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</si>
  <si>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</si>
  <si>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</si>
  <si>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</si>
  <si>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</si>
  <si>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</si>
  <si>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</si>
  <si>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</si>
  <si>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</si>
  <si>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</si>
  <si>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</si>
  <si>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</si>
  <si>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</si>
  <si>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</si>
  <si>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</si>
  <si>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</si>
  <si>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</si>
  <si>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</si>
  <si>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</si>
  <si>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</si>
  <si>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</si>
  <si>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</si>
  <si>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</si>
  <si>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</si>
  <si>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</si>
  <si>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</si>
  <si>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</si>
  <si>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</si>
  <si>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</si>
  <si>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</si>
  <si>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</si>
  <si>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</si>
  <si>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</si>
  <si>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</si>
  <si>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</si>
  <si>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</si>
  <si>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</si>
  <si>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</si>
  <si>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</si>
  <si>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</si>
  <si>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</si>
  <si>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</si>
  <si>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</si>
  <si>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</si>
  <si>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</si>
  <si>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</si>
  <si>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</si>
  <si>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</si>
  <si>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</si>
  <si>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</si>
  <si>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</si>
  <si>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</si>
  <si>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</si>
  <si>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</si>
  <si>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</si>
  <si>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</si>
  <si>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</si>
  <si>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</si>
  <si>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</si>
  <si>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</si>
  <si>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</si>
  <si>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</si>
  <si>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</si>
  <si>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</si>
  <si>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</si>
  <si>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</si>
  <si>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</si>
  <si>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</si>
  <si>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</si>
  <si>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</si>
  <si>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</si>
  <si>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</si>
  <si>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</si>
  <si>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</si>
  <si>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</si>
  <si>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</si>
  <si>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</si>
  <si>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</si>
  <si>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</si>
  <si>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</si>
  <si>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</si>
  <si>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</si>
  <si>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</si>
  <si>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</si>
  <si>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</si>
  <si>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</si>
  <si>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</si>
  <si>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</si>
  <si>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</si>
  <si>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</si>
  <si>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</si>
  <si>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</si>
  <si>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</si>
  <si>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</si>
  <si>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</si>
  <si>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</si>
  <si>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</si>
  <si>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</si>
  <si>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</si>
  <si>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</si>
  <si>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</si>
  <si>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</si>
  <si>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</si>
  <si>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</si>
  <si>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</si>
  <si>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</si>
  <si>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</si>
  <si>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</si>
  <si>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</si>
  <si>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</si>
  <si>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</si>
  <si>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</si>
  <si>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</si>
  <si>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</si>
  <si>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</si>
  <si>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</si>
  <si>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</si>
  <si>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</si>
  <si>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</si>
  <si>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</si>
  <si>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</si>
  <si>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</si>
  <si>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</si>
  <si>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</si>
  <si>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</si>
  <si>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</si>
  <si>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</si>
  <si>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</si>
  <si>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</si>
  <si>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</si>
  <si>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</si>
  <si>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</si>
  <si>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</si>
  <si>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</si>
  <si>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</si>
  <si>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</si>
  <si>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</si>
  <si>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</si>
  <si>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</si>
  <si>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</si>
  <si>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</si>
  <si>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</si>
  <si>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</si>
  <si>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</si>
  <si>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</si>
  <si>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</si>
  <si>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</si>
  <si>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</si>
  <si>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</si>
  <si>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</si>
  <si>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</si>
  <si>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</si>
  <si>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</si>
  <si>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</si>
  <si>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</si>
  <si>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</si>
  <si>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</si>
  <si>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</si>
  <si>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</si>
  <si>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</si>
  <si>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</si>
  <si>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</si>
  <si>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</si>
  <si>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</si>
  <si>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</si>
  <si>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</si>
  <si>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</si>
  <si>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</si>
  <si>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</si>
  <si>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</si>
  <si>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</si>
  <si>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</si>
  <si>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</si>
  <si>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</si>
  <si>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</si>
  <si>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</si>
  <si>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</si>
  <si>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</si>
  <si>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</si>
  <si>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</si>
  <si>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</si>
  <si>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</si>
  <si>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</si>
  <si>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</si>
  <si>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</si>
  <si>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</si>
  <si>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</si>
  <si>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</si>
  <si>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</si>
  <si>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</si>
  <si>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</si>
  <si>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</si>
  <si>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</si>
  <si>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</si>
  <si>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</si>
  <si>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</si>
  <si>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</si>
  <si>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</si>
  <si>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</si>
  <si>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</si>
  <si>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</si>
  <si>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</si>
  <si>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</si>
  <si>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</si>
  <si>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</si>
  <si>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</si>
  <si>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</si>
  <si>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</si>
  <si>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</si>
  <si>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</si>
  <si>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</si>
  <si>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</si>
  <si>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</si>
  <si>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</si>
  <si>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</si>
  <si>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</si>
  <si>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</si>
  <si>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</si>
  <si>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</si>
  <si>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</si>
  <si>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</si>
  <si>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</si>
  <si>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</si>
  <si>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</si>
  <si>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</si>
  <si>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</si>
  <si>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</si>
  <si>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</si>
  <si>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</si>
  <si>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</si>
  <si>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</si>
  <si>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</si>
  <si>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</si>
  <si>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</si>
  <si>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</si>
  <si>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</si>
  <si>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</si>
  <si>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</si>
  <si>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</si>
  <si>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</si>
  <si>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</si>
  <si>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</si>
  <si>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</si>
  <si>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</si>
  <si>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</si>
  <si>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</si>
  <si>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</si>
  <si>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</si>
  <si>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</si>
  <si>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</si>
  <si>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</si>
  <si>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</si>
  <si>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</si>
  <si>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</si>
  <si>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</si>
  <si>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</si>
  <si>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</si>
  <si>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</si>
  <si>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</si>
  <si>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</si>
  <si>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</si>
  <si>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</si>
  <si>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</si>
  <si>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</si>
  <si>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</si>
  <si>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</si>
  <si>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</si>
  <si>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</si>
  <si>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</si>
  <si>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</si>
  <si>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</si>
  <si>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</si>
  <si>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</si>
  <si>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</si>
  <si>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</si>
  <si>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</si>
  <si>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</si>
  <si>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</si>
  <si>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</si>
  <si>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</si>
  <si>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</si>
  <si>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</si>
  <si>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</si>
  <si>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</si>
  <si>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</si>
  <si>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</si>
  <si>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</si>
  <si>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</si>
  <si>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</si>
  <si>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</si>
  <si>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</si>
  <si>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</si>
  <si>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</si>
  <si>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</si>
  <si>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</si>
  <si>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</si>
  <si>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</si>
  <si>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</si>
  <si>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</si>
  <si>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</si>
  <si>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</si>
  <si>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</si>
  <si>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</si>
  <si>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</si>
  <si>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</si>
  <si>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</si>
  <si>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</si>
  <si>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</si>
  <si>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</si>
  <si>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</si>
  <si>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</si>
  <si>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</si>
  <si>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</si>
  <si>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</si>
  <si>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</si>
  <si>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</si>
  <si>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</si>
  <si>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</si>
  <si>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</si>
  <si>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</si>
  <si>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</si>
  <si>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</si>
  <si>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</si>
  <si>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</si>
  <si>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</si>
  <si>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</si>
  <si>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</si>
  <si>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</si>
  <si>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</si>
  <si>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</si>
  <si>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</si>
  <si>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</si>
  <si>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</si>
  <si>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</si>
  <si>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</si>
  <si>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</si>
  <si>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</si>
  <si>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</si>
  <si>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</si>
  <si>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</si>
  <si>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</si>
  <si>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</si>
  <si>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</si>
  <si>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</si>
  <si>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</si>
  <si>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</si>
  <si>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</si>
  <si>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</si>
  <si>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</si>
  <si>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</si>
  <si>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</si>
  <si>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</si>
  <si>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</si>
  <si>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</si>
  <si>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</si>
  <si>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</si>
  <si>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</si>
  <si>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</si>
  <si>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</si>
  <si>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</si>
  <si>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</si>
  <si>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</si>
  <si>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</si>
  <si>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</si>
  <si>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</si>
  <si>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</si>
  <si>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</si>
  <si>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</si>
  <si>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</si>
  <si>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</si>
  <si>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</si>
  <si>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</si>
  <si>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</si>
  <si>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</si>
  <si>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</si>
  <si>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</si>
  <si>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</si>
  <si>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</si>
  <si>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</si>
  <si>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</si>
  <si>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</si>
  <si>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</si>
  <si>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</si>
  <si>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</si>
  <si>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</si>
  <si>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</si>
  <si>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</si>
  <si>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</si>
  <si>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</si>
  <si>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</si>
  <si>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</si>
  <si>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</si>
  <si>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</si>
  <si>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</si>
  <si>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</si>
  <si>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</si>
  <si>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</si>
  <si>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</si>
  <si>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</si>
  <si>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</si>
  <si>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</si>
  <si>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</si>
  <si>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</si>
  <si>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</si>
  <si>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</si>
  <si>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</si>
  <si>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</si>
  <si>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</si>
  <si>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</si>
  <si>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</si>
  <si>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</si>
  <si>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</si>
  <si>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</si>
  <si>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</si>
  <si>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</si>
  <si>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</si>
  <si>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</si>
  <si>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</si>
  <si>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</si>
  <si>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</si>
  <si>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</si>
  <si>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</si>
  <si>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</si>
  <si>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</si>
  <si>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</si>
  <si>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</si>
  <si>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</si>
  <si>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</si>
  <si>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</si>
  <si>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</si>
  <si>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</si>
  <si>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</si>
  <si>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</si>
  <si>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</si>
  <si>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</si>
  <si>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</si>
  <si>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</si>
  <si>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</si>
  <si>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</si>
  <si>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</si>
  <si>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</si>
  <si>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</si>
  <si>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</si>
  <si>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</si>
  <si>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</si>
  <si>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</si>
  <si>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</si>
  <si>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</si>
  <si>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</si>
  <si>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</si>
  <si>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</si>
  <si>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</si>
  <si>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</si>
  <si>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</si>
  <si>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</si>
  <si>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</si>
  <si>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</si>
  <si>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</si>
  <si>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</si>
  <si>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</si>
  <si>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</si>
  <si>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</si>
  <si>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</si>
  <si>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</si>
  <si>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</si>
  <si>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</si>
  <si>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</si>
  <si>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</si>
  <si>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</si>
  <si>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</si>
  <si>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</si>
  <si>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</si>
  <si>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</si>
  <si>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</si>
  <si>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</si>
  <si>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</si>
  <si>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</si>
  <si>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</si>
  <si>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</si>
  <si>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</si>
  <si>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</si>
  <si>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</si>
  <si>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</si>
  <si>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</si>
  <si>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</si>
  <si>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</si>
  <si>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</si>
  <si>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</si>
  <si>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</si>
  <si>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</si>
  <si>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</si>
  <si>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</si>
  <si>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</si>
  <si>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</si>
  <si>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</si>
  <si>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</si>
  <si>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</si>
  <si>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</si>
  <si>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</si>
  <si>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</si>
  <si>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</si>
  <si>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</si>
  <si>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</si>
  <si>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</si>
  <si>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</si>
  <si>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</si>
  <si>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</si>
  <si>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</si>
  <si>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</si>
  <si>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</si>
  <si>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</si>
  <si>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</si>
  <si>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</si>
  <si>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</si>
  <si>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</si>
  <si>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</si>
  <si>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</si>
  <si>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</si>
  <si>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</si>
  <si>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</si>
  <si>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</si>
  <si>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</si>
  <si>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</si>
  <si>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</si>
  <si>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</si>
  <si>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</si>
  <si>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</si>
  <si>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</si>
  <si>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</si>
  <si>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</si>
  <si>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</si>
  <si>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</si>
  <si>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</si>
  <si>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</si>
  <si>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</si>
  <si>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</si>
  <si>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</si>
  <si>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</si>
  <si>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</si>
  <si>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</si>
  <si>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</si>
  <si>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</si>
  <si>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</si>
  <si>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</si>
  <si>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</si>
  <si>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</si>
  <si>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</si>
  <si>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</si>
  <si>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</si>
  <si>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</si>
  <si>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</si>
  <si>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</si>
  <si>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</si>
  <si>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</si>
  <si>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</si>
  <si>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</si>
  <si>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</si>
  <si>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</si>
  <si>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</si>
  <si>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</si>
  <si>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</si>
  <si>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</si>
  <si>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</si>
  <si>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</si>
  <si>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</si>
  <si>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</si>
  <si>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</si>
  <si>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</si>
  <si>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</si>
  <si>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</si>
  <si>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</si>
  <si>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</si>
  <si>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</si>
  <si>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</si>
  <si>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</si>
  <si>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</si>
  <si>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</si>
  <si>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</si>
  <si>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</si>
  <si>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</si>
  <si>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</si>
  <si>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</si>
  <si>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</si>
  <si>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</si>
  <si>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</si>
  <si>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</si>
  <si>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</si>
  <si>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</si>
  <si>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</si>
  <si>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</si>
  <si>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</si>
  <si>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</si>
  <si>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</si>
  <si>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</si>
  <si>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</si>
  <si>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</si>
  <si>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</si>
  <si>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</si>
  <si>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</si>
  <si>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</si>
  <si>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</si>
  <si>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</si>
  <si>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</si>
  <si>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</si>
  <si>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</si>
  <si>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</si>
  <si>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</si>
  <si>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</si>
  <si>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</si>
  <si>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</si>
  <si>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</si>
  <si>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</si>
  <si>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</si>
  <si>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</si>
  <si>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</si>
  <si>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</si>
  <si>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</si>
  <si>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</si>
  <si>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</si>
  <si>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</si>
  <si>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</si>
  <si>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</si>
  <si>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</si>
  <si>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</si>
  <si>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</si>
  <si>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</si>
  <si>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</si>
  <si>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</si>
  <si>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</si>
  <si>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</si>
  <si>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</si>
  <si>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</si>
  <si>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</si>
  <si>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</si>
  <si>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</si>
  <si>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</si>
  <si>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</si>
  <si>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</si>
  <si>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</si>
  <si>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</si>
  <si>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</si>
  <si>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</si>
  <si>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</si>
  <si>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</si>
  <si>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</si>
  <si>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</si>
  <si>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</si>
  <si>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</si>
  <si>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</si>
  <si>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</si>
  <si>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</si>
  <si>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</si>
  <si>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</si>
  <si>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</si>
  <si>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</si>
  <si>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</si>
  <si>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</si>
  <si>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</si>
  <si>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</si>
  <si>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</si>
  <si>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</si>
  <si>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</si>
  <si>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</si>
  <si>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</si>
  <si>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</si>
  <si>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</si>
  <si>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</si>
  <si>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</si>
  <si>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</si>
  <si>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</si>
  <si>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</si>
  <si>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</si>
  <si>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</si>
  <si>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</si>
  <si>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</si>
  <si>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</si>
  <si>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</si>
  <si>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</si>
  <si>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</si>
  <si>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</si>
  <si>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</si>
  <si>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</si>
  <si>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</si>
  <si>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</si>
  <si>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</si>
  <si>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</si>
  <si>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</si>
  <si>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</si>
  <si>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</si>
  <si>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</si>
  <si>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</si>
  <si>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</si>
  <si>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</si>
  <si>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</si>
  <si>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</si>
  <si>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</si>
  <si>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</si>
  <si>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</si>
  <si>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</si>
  <si>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</si>
  <si>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</si>
  <si>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</si>
  <si>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</si>
  <si>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</si>
  <si>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</si>
  <si>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</si>
  <si>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</si>
  <si>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</si>
  <si>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</si>
  <si>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</si>
  <si>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</si>
  <si>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</si>
  <si>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</si>
  <si>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</si>
  <si>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</si>
  <si>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</si>
  <si>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</si>
  <si>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</si>
  <si>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</si>
  <si>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</si>
  <si>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</si>
  <si>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</si>
  <si>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</si>
  <si>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</si>
  <si>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</si>
  <si>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</si>
  <si>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</si>
  <si>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</si>
  <si>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</si>
  <si>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</si>
  <si>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</si>
  <si>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</si>
  <si>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</si>
  <si>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</si>
  <si>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</si>
  <si>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</si>
  <si>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</si>
  <si>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</si>
  <si>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</si>
  <si>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</si>
  <si>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</si>
  <si>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</si>
  <si>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</si>
  <si>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</si>
  <si>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</si>
  <si>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</si>
  <si>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</si>
  <si>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</si>
  <si>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</si>
  <si>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</si>
  <si>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</si>
  <si>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</si>
  <si>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</si>
  <si>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</si>
  <si>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</si>
  <si>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</si>
  <si>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</si>
  <si>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</si>
  <si>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</si>
  <si>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</si>
  <si>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</si>
  <si>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</si>
  <si>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</si>
  <si>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</si>
  <si>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</si>
  <si>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</si>
  <si>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</si>
  <si>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</si>
  <si>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</si>
  <si>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</si>
  <si>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</si>
  <si>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</si>
  <si>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</si>
  <si>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</si>
  <si>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</si>
  <si>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</si>
  <si>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</si>
  <si>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</si>
  <si>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</si>
  <si>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</si>
  <si>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</si>
  <si>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</si>
  <si>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</si>
  <si>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</si>
  <si>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</si>
  <si>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</si>
  <si>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</si>
  <si>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</si>
  <si>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</si>
  <si>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</si>
  <si>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</si>
  <si>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</si>
  <si>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</si>
  <si>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</si>
  <si>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</si>
  <si>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</si>
  <si>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</si>
  <si>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</si>
  <si>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</si>
  <si>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</si>
  <si>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</si>
  <si>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</si>
  <si>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</si>
  <si>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</si>
  <si>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</si>
  <si>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</si>
  <si>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</si>
  <si>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</si>
  <si>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</si>
  <si>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</si>
  <si>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</si>
  <si>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</si>
  <si>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</si>
  <si>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</si>
  <si>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</si>
  <si>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</si>
  <si>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</si>
  <si>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</si>
  <si>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</si>
  <si>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</si>
  <si>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</si>
  <si>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</si>
  <si>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</si>
  <si>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</si>
  <si>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</si>
  <si>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</si>
  <si>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</si>
  <si>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</si>
  <si>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</si>
  <si>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</si>
  <si>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</si>
  <si>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</si>
  <si>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</si>
  <si>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</si>
  <si>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</si>
  <si>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</si>
  <si>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</si>
  <si>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</si>
  <si>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</si>
  <si>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</si>
  <si>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</si>
  <si>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</si>
  <si>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</si>
  <si>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</si>
  <si>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</si>
  <si>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</si>
  <si>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</si>
  <si>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</si>
  <si>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</si>
  <si>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</si>
  <si>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</si>
  <si>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</si>
  <si>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</si>
  <si>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</si>
  <si>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</si>
  <si>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</si>
  <si>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</si>
  <si>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</si>
  <si>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</si>
  <si>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</si>
  <si>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</si>
  <si>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</si>
  <si>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</si>
  <si>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</si>
  <si>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</si>
  <si>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</si>
  <si>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</si>
  <si>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</si>
  <si>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</si>
  <si>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</si>
  <si>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</si>
  <si>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</si>
  <si>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</si>
  <si>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</si>
  <si>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</si>
  <si>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</si>
  <si>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</si>
  <si>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</si>
  <si>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</si>
  <si>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</si>
  <si>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</si>
  <si>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</si>
  <si>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</si>
  <si>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</si>
  <si>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</si>
  <si>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</si>
  <si>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</si>
  <si>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</si>
  <si>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</si>
  <si>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</si>
  <si>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</si>
  <si>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</si>
  <si>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</si>
  <si>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</si>
  <si>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</si>
  <si>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</si>
  <si>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</si>
  <si>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</si>
  <si>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</si>
  <si>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</si>
  <si>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</si>
  <si>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</si>
  <si>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</si>
  <si>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</si>
  <si>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</si>
  <si>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</si>
  <si>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</si>
  <si>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</si>
  <si>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</si>
  <si>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</si>
  <si>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</si>
  <si>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</si>
  <si>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</si>
  <si>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</si>
  <si>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</si>
  <si>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</si>
  <si>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</si>
  <si>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</si>
  <si>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</si>
  <si>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</si>
  <si>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</si>
  <si>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</si>
  <si>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</si>
  <si>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</si>
  <si>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</si>
  <si>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</si>
  <si>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</si>
  <si>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</si>
  <si>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</si>
  <si>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</si>
  <si>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</si>
  <si>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</si>
  <si>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</si>
  <si>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</si>
  <si>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</si>
  <si>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</si>
  <si>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</si>
  <si>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</si>
  <si>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</si>
  <si>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</si>
  <si>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</si>
  <si>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</si>
  <si>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</si>
  <si>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</si>
  <si>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</si>
  <si>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</si>
  <si>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</si>
  <si>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</si>
  <si>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</si>
  <si>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</si>
  <si>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</si>
  <si>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</si>
  <si>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</si>
  <si>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</si>
  <si>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</si>
  <si>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</si>
  <si>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</si>
  <si>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</si>
  <si>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</si>
  <si>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</si>
  <si>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</si>
  <si>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</si>
  <si>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</si>
  <si>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</si>
  <si>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</si>
  <si>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</si>
  <si>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</si>
  <si>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</si>
  <si>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</si>
  <si>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</si>
  <si>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</si>
  <si>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</si>
  <si>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</si>
  <si>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</si>
  <si>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</si>
  <si>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</si>
  <si>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</si>
  <si>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</si>
  <si>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</si>
  <si>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</si>
  <si>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</si>
  <si>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</si>
  <si>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</si>
  <si>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</si>
  <si>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</si>
  <si>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</si>
  <si>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</si>
  <si>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</si>
  <si>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</si>
  <si>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</si>
  <si>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</si>
  <si>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</si>
  <si>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</si>
  <si>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</si>
  <si>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</si>
  <si>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</si>
  <si>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</si>
  <si>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</si>
  <si>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</si>
  <si>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</si>
  <si>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</si>
  <si>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</si>
  <si>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</si>
  <si>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</si>
  <si>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</si>
  <si>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</si>
  <si>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</si>
  <si>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</si>
  <si>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</si>
  <si>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</si>
  <si>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</si>
  <si>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</si>
  <si>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</si>
  <si>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</si>
  <si>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</si>
  <si>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</si>
  <si>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</si>
  <si>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</si>
  <si>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</si>
  <si>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</si>
  <si>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</si>
  <si>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</si>
  <si>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</si>
  <si>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</si>
  <si>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</si>
  <si>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</si>
  <si>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</si>
  <si>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</si>
  <si>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</si>
  <si>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</si>
  <si>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</si>
  <si>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</si>
  <si>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</si>
  <si>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</si>
  <si>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</si>
  <si>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</si>
  <si>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</si>
  <si>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</si>
  <si>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</si>
  <si>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</si>
  <si>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</si>
  <si>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</si>
  <si>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</si>
  <si>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</si>
  <si>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</si>
  <si>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</si>
  <si>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</si>
  <si>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</si>
  <si>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</si>
  <si>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</si>
  <si>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</si>
  <si>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</si>
  <si>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</si>
  <si>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</si>
  <si>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</si>
  <si>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</si>
  <si>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</si>
  <si>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</si>
  <si>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</si>
  <si>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</si>
  <si>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</si>
  <si>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</si>
  <si>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</si>
  <si>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</si>
  <si>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</si>
  <si>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</si>
  <si>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</si>
  <si>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</si>
  <si>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</si>
  <si>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</si>
  <si>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</si>
  <si>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</si>
  <si>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</si>
  <si>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</si>
  <si>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</si>
  <si>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</si>
  <si>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</si>
  <si>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</si>
  <si>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</si>
  <si>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</si>
  <si>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</si>
  <si>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</si>
  <si>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</si>
  <si>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</si>
  <si>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</si>
  <si>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</si>
  <si>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</si>
  <si>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</si>
  <si>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</si>
  <si>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</si>
  <si>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</si>
  <si>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</si>
  <si>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</si>
  <si>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</si>
  <si>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</si>
  <si>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</si>
  <si>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</si>
  <si>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</si>
  <si>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</si>
  <si>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</si>
  <si>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</si>
  <si>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</si>
  <si>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</si>
  <si>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</si>
  <si>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</si>
  <si>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</si>
  <si>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</si>
  <si>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</si>
  <si>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</si>
  <si>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</si>
  <si>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</si>
  <si>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</si>
  <si>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</si>
  <si>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</si>
  <si>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</si>
  <si>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</si>
  <si>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</si>
  <si>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</si>
  <si>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</si>
  <si>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</si>
  <si>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</si>
  <si>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</si>
  <si>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</si>
  <si>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</si>
  <si>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</si>
  <si>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</si>
  <si>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</si>
  <si>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</si>
  <si>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</si>
  <si>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</si>
  <si>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</si>
  <si>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</si>
  <si>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</si>
  <si>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</si>
  <si>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</si>
  <si>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</si>
  <si>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</si>
  <si>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</si>
  <si>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</si>
  <si>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</si>
  <si>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</si>
  <si>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</si>
  <si>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</si>
  <si>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</si>
  <si>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</si>
  <si>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</si>
  <si>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</si>
  <si>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</si>
  <si>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</si>
  <si>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</si>
  <si>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</si>
  <si>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</si>
  <si>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</si>
  <si>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</si>
  <si>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</si>
  <si>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</si>
  <si>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</si>
  <si>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</si>
  <si>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</si>
  <si>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</si>
  <si>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</si>
  <si>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</si>
  <si>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</si>
  <si>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</si>
  <si>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</si>
  <si>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</si>
  <si>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</si>
  <si>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</si>
  <si>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</si>
  <si>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</si>
  <si>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</si>
  <si>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</si>
  <si>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</si>
  <si>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</si>
  <si>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</si>
  <si>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</si>
  <si>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</si>
  <si>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</si>
  <si>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</si>
  <si>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</si>
  <si>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</si>
  <si>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</si>
  <si>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</si>
  <si>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</si>
  <si>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</si>
  <si>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</si>
  <si>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</si>
  <si>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</si>
  <si>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</si>
  <si>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</si>
  <si>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</si>
  <si>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</si>
  <si>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</si>
  <si>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</si>
  <si>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</si>
  <si>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</si>
  <si>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</si>
  <si>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</si>
  <si>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</si>
  <si>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</si>
  <si>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</si>
  <si>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</si>
  <si>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</si>
  <si>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</si>
  <si>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</si>
  <si>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</si>
  <si>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</si>
  <si>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</si>
  <si>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</si>
  <si>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</si>
  <si>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</si>
  <si>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</si>
  <si>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</si>
  <si>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</si>
  <si>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</si>
  <si>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</si>
  <si>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</si>
  <si>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</si>
  <si>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</si>
  <si>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</si>
  <si>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</si>
  <si>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</si>
  <si>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</si>
  <si>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</si>
  <si>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</si>
  <si>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</si>
  <si>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</si>
  <si>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</si>
  <si>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</si>
  <si>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</si>
  <si>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</si>
  <si>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</si>
  <si>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</si>
  <si>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</si>
  <si>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</si>
  <si>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</si>
  <si>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</si>
  <si>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</si>
  <si>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</si>
  <si>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</si>
  <si>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</si>
  <si>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</si>
  <si>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</si>
  <si>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</si>
  <si>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</si>
  <si>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</si>
  <si>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</si>
  <si>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</si>
  <si>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</si>
  <si>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</si>
  <si>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</si>
  <si>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</si>
  <si>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</si>
  <si>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</si>
  <si>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</si>
  <si>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</si>
  <si>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</si>
  <si>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</si>
  <si>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</si>
  <si>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</si>
  <si>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</si>
  <si>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</si>
  <si>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</si>
  <si>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</si>
  <si>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</si>
  <si>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</si>
  <si>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</si>
  <si>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</si>
  <si>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</si>
  <si>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</si>
  <si>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</si>
  <si>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</si>
  <si>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</si>
  <si>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</si>
  <si>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</si>
  <si>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</si>
  <si>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</si>
  <si>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</si>
  <si>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</si>
  <si>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</si>
  <si>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</si>
  <si>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</si>
  <si>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</si>
  <si>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</si>
  <si>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</si>
  <si>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</si>
  <si>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</si>
  <si>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</si>
  <si>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</si>
  <si>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</si>
  <si>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</si>
  <si>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</si>
  <si>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</si>
  <si>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</si>
  <si>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</si>
  <si>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</si>
  <si>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</si>
  <si>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</si>
  <si>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</si>
  <si>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</si>
  <si>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</si>
  <si>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</si>
  <si>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</si>
  <si>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</si>
  <si>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</si>
  <si>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</si>
  <si>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</si>
  <si>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</si>
  <si>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</si>
  <si>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</si>
  <si>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</si>
  <si>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</si>
  <si>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</si>
  <si>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</si>
  <si>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</si>
  <si>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</si>
  <si>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</si>
  <si>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</si>
  <si>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</si>
  <si>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</si>
  <si>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</si>
  <si>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</si>
  <si>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</si>
  <si>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</si>
  <si>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</si>
  <si>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</si>
  <si>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</si>
  <si>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</si>
  <si>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</si>
  <si>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</si>
  <si>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</si>
  <si>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</si>
  <si>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</si>
  <si>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</si>
  <si>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</si>
  <si>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</si>
  <si>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</si>
  <si>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</si>
  <si>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</si>
  <si>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</si>
  <si>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</si>
  <si>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</si>
  <si>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</si>
  <si>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</si>
  <si>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</si>
  <si>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</si>
  <si>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</si>
  <si>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</si>
  <si>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</si>
  <si>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</si>
  <si>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</si>
  <si>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</si>
  <si>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</si>
  <si>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</si>
  <si>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</si>
  <si>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</si>
  <si>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</si>
  <si>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</si>
  <si>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</si>
  <si>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</si>
  <si>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</si>
  <si>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</si>
  <si>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</si>
  <si>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</si>
  <si>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</si>
  <si>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</si>
  <si>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</si>
  <si>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</si>
  <si>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</si>
  <si>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</si>
  <si>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</si>
  <si>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</si>
  <si>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</si>
  <si>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</si>
  <si>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</si>
  <si>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</si>
  <si>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</si>
  <si>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</si>
  <si>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</si>
  <si>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</si>
  <si>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</si>
  <si>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</si>
  <si>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</si>
  <si>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</si>
  <si>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</si>
  <si>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</si>
  <si>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</si>
  <si>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</si>
  <si>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</si>
  <si>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</si>
  <si>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</si>
  <si>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</si>
  <si>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</si>
  <si>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</si>
  <si>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</si>
  <si>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</si>
  <si>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</si>
  <si>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</si>
  <si>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</si>
  <si>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</si>
  <si>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</si>
  <si>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</si>
  <si>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</si>
  <si>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</si>
  <si>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</si>
  <si>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</si>
  <si>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</si>
  <si>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</si>
  <si>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</si>
  <si>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</si>
  <si>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</si>
  <si>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</si>
  <si>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</si>
  <si>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</si>
  <si>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</si>
  <si>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</si>
  <si>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</si>
  <si>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</si>
  <si>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</si>
  <si>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</si>
  <si>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</si>
  <si>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</si>
  <si>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</si>
  <si>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</si>
  <si>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</si>
  <si>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</si>
  <si>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</si>
  <si>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</si>
  <si>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</si>
  <si>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</si>
  <si>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</si>
  <si>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</si>
  <si>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</si>
  <si>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</si>
  <si>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</si>
  <si>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</si>
  <si>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</si>
  <si>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</si>
  <si>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</si>
  <si>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</si>
  <si>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</si>
  <si>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</si>
  <si>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</si>
  <si>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</si>
  <si>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</si>
  <si>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</si>
  <si>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</si>
  <si>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</si>
  <si>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</si>
  <si>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</si>
  <si>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</si>
  <si>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</si>
  <si>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</si>
  <si>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</si>
  <si>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</si>
  <si>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</si>
  <si>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</si>
  <si>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</si>
  <si>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</si>
  <si>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</si>
  <si>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</si>
  <si>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</si>
  <si>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</si>
  <si>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</si>
  <si>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</si>
  <si>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</si>
  <si>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</si>
  <si>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</si>
  <si>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</si>
  <si>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</si>
  <si>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</si>
  <si>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</si>
  <si>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</si>
  <si>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</si>
  <si>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</si>
  <si>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</si>
  <si>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</si>
  <si>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</si>
  <si>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</si>
  <si>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</si>
  <si>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</si>
  <si>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</si>
  <si>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</si>
  <si>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</si>
  <si>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</si>
  <si>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</si>
  <si>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</si>
  <si>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</si>
  <si>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</si>
  <si>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</si>
  <si>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</si>
  <si>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</si>
  <si>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</si>
  <si>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</si>
  <si>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</si>
  <si>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</si>
  <si>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</si>
  <si>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</si>
  <si>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</si>
  <si>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</si>
  <si>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</si>
  <si>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</si>
  <si>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</si>
  <si>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</si>
  <si>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</si>
  <si>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</si>
  <si>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</si>
  <si>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</si>
  <si>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</si>
  <si>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</si>
  <si>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</si>
  <si>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</si>
  <si>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</si>
  <si>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</si>
  <si>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</si>
  <si>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</si>
  <si>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</si>
  <si>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</si>
  <si>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</si>
  <si>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</si>
  <si>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</si>
  <si>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</si>
  <si>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</si>
  <si>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</si>
  <si>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</si>
  <si>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</si>
  <si>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</si>
  <si>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</si>
  <si>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</si>
  <si>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</si>
  <si>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</si>
  <si>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</si>
  <si>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</si>
  <si>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</si>
  <si>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</si>
  <si>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</si>
  <si>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</si>
  <si>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</si>
  <si>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</si>
  <si>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</si>
  <si>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</si>
  <si>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</si>
  <si>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</si>
  <si>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</si>
  <si>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</si>
  <si>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</si>
  <si>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</si>
  <si>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</si>
  <si>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</si>
  <si>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</si>
  <si>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</si>
  <si>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</si>
  <si>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</si>
  <si>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</si>
  <si>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</si>
  <si>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</si>
  <si>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</si>
  <si>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</si>
  <si>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</si>
  <si>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</si>
  <si>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</si>
  <si>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</si>
  <si>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</si>
  <si>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</si>
  <si>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</si>
  <si>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</si>
  <si>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</si>
  <si>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</si>
  <si>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</si>
  <si>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</si>
  <si>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</si>
  <si>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</si>
  <si>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</si>
  <si>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</si>
  <si>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</si>
  <si>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</si>
  <si>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</si>
  <si>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</si>
  <si>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</si>
  <si>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</si>
  <si>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</si>
  <si>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</si>
  <si>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</si>
  <si>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</si>
  <si>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</si>
  <si>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</si>
  <si>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</si>
  <si>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</si>
  <si>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</si>
  <si>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</si>
  <si>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</si>
  <si>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</si>
  <si>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</si>
  <si>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</si>
  <si>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</si>
  <si>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</si>
  <si>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</si>
  <si>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</si>
  <si>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</si>
  <si>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</si>
  <si>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</si>
  <si>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</si>
  <si>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</si>
  <si>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</si>
  <si>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</si>
  <si>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</si>
  <si>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</si>
  <si>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</si>
  <si>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</si>
  <si>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</si>
  <si>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</si>
  <si>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</si>
  <si>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</si>
  <si>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</si>
  <si>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</si>
  <si>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</si>
  <si>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</si>
  <si>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</si>
  <si>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</si>
  <si>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</si>
  <si>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</si>
  <si>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</si>
  <si>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</si>
  <si>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</si>
  <si>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</si>
  <si>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</si>
  <si>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</si>
  <si>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</si>
  <si>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</si>
  <si>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</si>
  <si>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</si>
  <si>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</si>
  <si>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</si>
  <si>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</si>
  <si>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</si>
  <si>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</si>
  <si>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</si>
  <si>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</si>
  <si>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</si>
  <si>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</si>
  <si>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</si>
  <si>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</si>
  <si>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</si>
  <si>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</si>
  <si>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</si>
  <si>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</si>
  <si>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</si>
  <si>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</si>
  <si>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</si>
  <si>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</si>
  <si>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</si>
  <si>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</si>
  <si>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</si>
  <si>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</si>
  <si>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</si>
  <si>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</si>
  <si>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</si>
  <si>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</si>
  <si>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</si>
  <si>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</si>
  <si>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</si>
  <si>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</si>
  <si>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</si>
  <si>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</si>
  <si>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</si>
  <si>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</si>
  <si>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</si>
  <si>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</si>
  <si>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</si>
  <si>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</si>
  <si>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</si>
  <si>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</si>
  <si>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</si>
  <si>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</si>
  <si>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</si>
  <si>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</si>
  <si>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</si>
  <si>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</si>
  <si>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</si>
  <si>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</si>
  <si>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</si>
  <si>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</si>
  <si>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</si>
  <si>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</si>
  <si>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</si>
  <si>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</si>
  <si>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</si>
  <si>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</si>
  <si>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</si>
  <si>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</si>
  <si>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</si>
  <si>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</si>
  <si>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</si>
  <si>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</si>
  <si>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</si>
  <si>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</si>
  <si>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</si>
  <si>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</si>
  <si>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</si>
  <si>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</si>
  <si>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</si>
  <si>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</si>
  <si>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</si>
  <si>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</si>
  <si>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</si>
  <si>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</si>
  <si>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</si>
  <si>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</si>
  <si>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</si>
  <si>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</si>
  <si>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</si>
  <si>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</si>
  <si>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</si>
  <si>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</si>
  <si>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</si>
  <si>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</si>
  <si>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</si>
  <si>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</si>
  <si>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</si>
  <si>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</si>
  <si>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</si>
  <si>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</si>
  <si>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</si>
  <si>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</si>
  <si>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</si>
  <si>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</si>
  <si>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</si>
  <si>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</si>
  <si>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</si>
  <si>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</si>
  <si>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</si>
  <si>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</si>
  <si>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</si>
  <si>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</si>
  <si>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</si>
  <si>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</si>
  <si>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</si>
  <si>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</si>
  <si>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</si>
  <si>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</si>
  <si>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</si>
  <si>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</si>
  <si>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</si>
  <si>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</si>
  <si>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</si>
  <si>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</si>
  <si>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</si>
  <si>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</si>
  <si>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</si>
  <si>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</si>
  <si>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</si>
  <si>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</si>
  <si>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</si>
  <si>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</si>
  <si>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</si>
  <si>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</si>
  <si>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</si>
  <si>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</si>
  <si>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</si>
  <si>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</si>
  <si>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</si>
  <si>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</si>
  <si>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</si>
  <si>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</si>
  <si>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</si>
  <si>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</si>
  <si>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</si>
  <si>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</si>
  <si>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</si>
  <si>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</si>
  <si>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</si>
  <si>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</si>
  <si>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</si>
  <si>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</si>
  <si>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</si>
  <si>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</si>
  <si>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</si>
  <si>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</si>
  <si>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</si>
  <si>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</si>
  <si>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</si>
  <si>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</si>
  <si>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</si>
  <si>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</si>
  <si>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</si>
  <si>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</si>
  <si>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</si>
  <si>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</si>
  <si>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</si>
  <si>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</si>
  <si>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</si>
  <si>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</si>
  <si>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</si>
  <si>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</si>
  <si>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</si>
  <si>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</si>
  <si>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</si>
  <si>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</si>
  <si>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</si>
  <si>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</si>
  <si>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</si>
  <si>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</si>
  <si>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</si>
  <si>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</si>
  <si>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</si>
  <si>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</si>
  <si>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</si>
  <si>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</si>
  <si>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</si>
  <si>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</si>
  <si>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</si>
  <si>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</si>
  <si>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</si>
  <si>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</si>
  <si>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</si>
  <si>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</si>
  <si>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</si>
  <si>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</si>
  <si>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</si>
  <si>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</si>
  <si>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</si>
  <si>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</si>
  <si>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</si>
  <si>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</si>
  <si>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</si>
  <si>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</si>
  <si>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</si>
  <si>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</si>
  <si>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</si>
  <si>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</si>
  <si>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</si>
  <si>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</si>
  <si>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</si>
  <si>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</si>
  <si>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</si>
  <si>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</si>
  <si>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</si>
  <si>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</si>
  <si>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</si>
  <si>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</si>
  <si>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</si>
  <si>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</si>
  <si>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</si>
  <si>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</si>
  <si>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</si>
  <si>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</si>
  <si>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</si>
  <si>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</si>
  <si>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</si>
  <si>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</si>
  <si>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</si>
  <si>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</si>
  <si>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</si>
  <si>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</si>
  <si>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</si>
  <si>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</si>
  <si>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</si>
  <si>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</si>
  <si>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</si>
  <si>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</si>
  <si>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</si>
  <si>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</si>
  <si>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</si>
  <si>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</si>
  <si>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</si>
  <si>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</si>
  <si>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</si>
  <si>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</si>
  <si>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</si>
  <si>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</si>
  <si>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</si>
  <si>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</si>
  <si>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</si>
  <si>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</si>
  <si>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</si>
  <si>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</si>
  <si>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</si>
  <si>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</si>
  <si>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</si>
  <si>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</si>
  <si>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</si>
  <si>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</si>
  <si>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</si>
  <si>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</si>
  <si>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</si>
  <si>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</si>
  <si>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</si>
  <si>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</si>
  <si>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</si>
  <si>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</si>
  <si>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</si>
  <si>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</si>
  <si>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</si>
  <si>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</si>
  <si>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</si>
  <si>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</si>
  <si>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</si>
  <si>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</si>
  <si>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</si>
  <si>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</si>
  <si>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</si>
  <si>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</si>
  <si>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</si>
  <si>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</si>
  <si>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</si>
  <si>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</si>
  <si>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</si>
  <si>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</si>
  <si>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</si>
  <si>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</si>
  <si>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</si>
  <si>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</si>
  <si>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</si>
  <si>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</si>
  <si>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</si>
  <si>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</si>
  <si>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</si>
  <si>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</si>
  <si>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</si>
  <si>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</si>
  <si>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</si>
  <si>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</si>
  <si>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</si>
  <si>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</si>
  <si>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</si>
  <si>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</si>
  <si>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</si>
  <si>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</si>
  <si>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</si>
  <si>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</si>
  <si>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</si>
  <si>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</si>
  <si>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</si>
  <si>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</si>
  <si>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</si>
  <si>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</si>
  <si>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</si>
  <si>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</si>
  <si>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</si>
  <si>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</si>
  <si>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</si>
  <si>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</si>
  <si>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</si>
  <si>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</si>
  <si>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</si>
  <si>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</si>
  <si>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</si>
  <si>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</si>
  <si>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</si>
  <si>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</si>
  <si>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</si>
  <si>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</si>
  <si>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</si>
  <si>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</si>
  <si>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</si>
  <si>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</si>
  <si>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</si>
  <si>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</si>
  <si>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</si>
  <si>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</si>
  <si>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</si>
  <si>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</si>
  <si>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</si>
  <si>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</si>
  <si>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</si>
  <si>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</si>
  <si>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</si>
  <si>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</si>
  <si>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</si>
  <si>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</si>
  <si>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</si>
  <si>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</si>
  <si>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</si>
  <si>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</si>
  <si>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</si>
  <si>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</si>
  <si>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</si>
  <si>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</si>
  <si>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</si>
  <si>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</si>
  <si>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</si>
  <si>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</si>
  <si>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</si>
  <si>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</si>
  <si>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</si>
  <si>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</si>
  <si>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</si>
  <si>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</si>
  <si>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</si>
  <si>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</si>
  <si>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</si>
  <si>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</si>
  <si>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</si>
  <si>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</si>
  <si>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</si>
  <si>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</si>
  <si>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</si>
  <si>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</si>
  <si>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</si>
  <si>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</si>
  <si>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</si>
  <si>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</si>
  <si>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</si>
  <si>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</si>
  <si>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</si>
  <si>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</si>
  <si>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</si>
  <si>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</si>
  <si>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</si>
  <si>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</si>
  <si>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</si>
  <si>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</si>
  <si>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</si>
  <si>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</si>
  <si>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</si>
  <si>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</si>
  <si>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</si>
  <si>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</si>
  <si>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</si>
  <si>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</si>
  <si>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</si>
  <si>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</si>
  <si>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</si>
  <si>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</si>
  <si>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</si>
  <si>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</si>
  <si>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</si>
  <si>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</si>
  <si>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</si>
  <si>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</si>
  <si>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</si>
  <si>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</si>
  <si>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</si>
  <si>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</si>
  <si>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</si>
  <si>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</si>
  <si>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</si>
  <si>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</si>
  <si>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</si>
  <si>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</si>
  <si>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</si>
  <si>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</si>
  <si>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</si>
  <si>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</si>
  <si>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</si>
  <si>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</si>
  <si>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</si>
  <si>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</si>
  <si>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</si>
  <si>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</si>
  <si>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</si>
  <si>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</si>
  <si>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</si>
  <si>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</si>
  <si>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</si>
  <si>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</si>
  <si>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</si>
  <si>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</si>
  <si>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</si>
  <si>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</si>
  <si>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</si>
  <si>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</si>
  <si>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</si>
  <si>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</si>
  <si>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</si>
  <si>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</si>
  <si>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</si>
  <si>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</si>
  <si>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</si>
  <si>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</si>
  <si>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</si>
  <si>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</si>
  <si>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</si>
  <si>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</si>
  <si>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</si>
  <si>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</si>
  <si>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</si>
  <si>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</si>
  <si>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</si>
  <si>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</si>
  <si>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</si>
  <si>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</si>
  <si>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</si>
  <si>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</si>
  <si>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</si>
  <si>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</si>
  <si>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</si>
  <si>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</si>
  <si>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</si>
  <si>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</si>
  <si>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</si>
  <si>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</si>
  <si>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</si>
  <si>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</si>
  <si>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</si>
  <si>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</si>
  <si>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</si>
  <si>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</si>
  <si>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</si>
  <si>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</si>
  <si>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</si>
  <si>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</si>
  <si>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</si>
  <si>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</si>
  <si>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</si>
  <si>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</si>
  <si>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</si>
  <si>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</si>
  <si>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</si>
  <si>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</si>
  <si>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</si>
  <si>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</si>
  <si>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</si>
  <si>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</si>
  <si>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</si>
  <si>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</si>
  <si>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</si>
  <si>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</si>
  <si>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</si>
  <si>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</si>
  <si>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</si>
  <si>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</si>
  <si>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</si>
  <si>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</si>
  <si>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</si>
  <si>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</si>
  <si>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</si>
  <si>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</si>
  <si>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</si>
  <si>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</si>
  <si>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</si>
  <si>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</si>
  <si>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</si>
  <si>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</si>
  <si>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</si>
  <si>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</si>
  <si>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</si>
  <si>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</si>
  <si>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</si>
  <si>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</si>
  <si>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</si>
  <si>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</si>
  <si>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</si>
  <si>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</si>
  <si>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</si>
  <si>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</si>
  <si>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</si>
  <si>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</si>
  <si>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</si>
  <si>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</si>
  <si>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</si>
  <si>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</si>
  <si>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</si>
  <si>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</si>
  <si>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</si>
  <si>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</si>
  <si>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</si>
  <si>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</si>
  <si>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</si>
  <si>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</si>
  <si>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</si>
  <si>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</si>
  <si>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</si>
  <si>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</si>
  <si>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</si>
  <si>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</si>
  <si>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</si>
  <si>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</si>
  <si>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</si>
  <si>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</si>
  <si>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</si>
  <si>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</si>
  <si>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</si>
  <si>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</si>
  <si>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</si>
  <si>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</si>
  <si>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</si>
  <si>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</si>
  <si>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</si>
  <si>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</si>
  <si>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</si>
  <si>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</si>
  <si>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</si>
  <si>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</si>
  <si>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</si>
  <si>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</si>
  <si>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</si>
  <si>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</si>
  <si>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</si>
  <si>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</si>
  <si>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</si>
  <si>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</si>
  <si>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</si>
  <si>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</si>
  <si>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</si>
  <si>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</si>
  <si>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</si>
  <si>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</si>
  <si>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</si>
  <si>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</si>
  <si>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</si>
  <si>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</si>
  <si>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</si>
  <si>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</si>
  <si>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</si>
  <si>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</si>
  <si>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</si>
  <si>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</si>
  <si>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</si>
  <si>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</si>
  <si>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</si>
  <si>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</si>
  <si>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</si>
  <si>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</si>
  <si>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</si>
  <si>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</si>
  <si>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</si>
  <si>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</si>
  <si>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</si>
  <si>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</si>
  <si>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</si>
  <si>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</si>
  <si>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</si>
  <si>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</si>
  <si>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</si>
  <si>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</si>
  <si>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</si>
  <si>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</si>
  <si>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</si>
  <si>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</si>
  <si>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</si>
  <si>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</si>
  <si>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</si>
  <si>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</si>
  <si>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</si>
  <si>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</si>
  <si>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</si>
  <si>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</si>
  <si>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</si>
  <si>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</si>
  <si>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</si>
  <si>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</si>
  <si>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</si>
  <si>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</si>
  <si>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</si>
  <si>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</si>
  <si>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</si>
  <si>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</si>
  <si>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</si>
  <si>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</si>
  <si>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</si>
  <si>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</si>
  <si>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</si>
  <si>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</si>
  <si>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</si>
  <si>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</si>
  <si>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</si>
  <si>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</si>
  <si>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</si>
  <si>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</si>
  <si>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</si>
  <si>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</si>
  <si>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</si>
  <si>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</si>
  <si>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</si>
  <si>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</si>
  <si>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</si>
  <si>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</si>
  <si>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</si>
  <si>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</si>
  <si>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</si>
  <si>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</si>
  <si>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</si>
  <si>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</si>
  <si>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</si>
  <si>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</si>
  <si>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</si>
  <si>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</si>
  <si>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</si>
  <si>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</si>
  <si>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</si>
  <si>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</si>
  <si>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</si>
  <si>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</si>
  <si>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</si>
  <si>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</si>
  <si>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</si>
  <si>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</si>
  <si>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</si>
  <si>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</si>
  <si>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</si>
  <si>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</si>
  <si>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</si>
  <si>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</si>
  <si>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</si>
  <si>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</si>
  <si>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</si>
  <si>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</si>
  <si>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</si>
  <si>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</si>
  <si>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</si>
  <si>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</si>
  <si>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</si>
  <si>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</si>
  <si>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</si>
  <si>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</si>
  <si>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</si>
  <si>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</si>
  <si>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</si>
  <si>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</si>
  <si>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</si>
  <si>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</si>
  <si>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</si>
  <si>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</si>
  <si>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</si>
  <si>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</si>
  <si>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</si>
  <si>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</si>
  <si>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</si>
  <si>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</si>
  <si>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</si>
  <si>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</si>
  <si>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</si>
  <si>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</si>
  <si>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</si>
  <si>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</si>
  <si>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</si>
  <si>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</si>
  <si>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</si>
  <si>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</si>
  <si>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</si>
  <si>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</si>
  <si>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</si>
  <si>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</si>
  <si>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</si>
  <si>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</si>
  <si>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</si>
  <si>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</si>
  <si>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</si>
  <si>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</si>
  <si>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</si>
  <si>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</si>
  <si>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</si>
  <si>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</si>
  <si>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</si>
  <si>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</si>
  <si>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</si>
  <si>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</si>
  <si>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</si>
  <si>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</si>
  <si>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</si>
  <si>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</si>
  <si>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</si>
  <si>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</si>
  <si>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</si>
  <si>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</si>
  <si>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</si>
  <si>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</si>
  <si>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</si>
  <si>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</si>
  <si>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</si>
  <si>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</si>
  <si>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</si>
  <si>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</si>
  <si>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</si>
  <si>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</si>
  <si>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</si>
  <si>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</si>
  <si>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</si>
  <si>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</si>
  <si>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</si>
  <si>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</si>
  <si>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</si>
  <si>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</si>
  <si>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</si>
  <si>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</si>
  <si>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</si>
  <si>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</si>
  <si>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</si>
  <si>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</si>
  <si>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</si>
  <si>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</si>
  <si>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</si>
  <si>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</si>
  <si>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</si>
  <si>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</si>
  <si>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</si>
  <si>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</si>
  <si>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</si>
  <si>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</si>
  <si>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</si>
  <si>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</si>
  <si>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</si>
  <si>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</si>
  <si>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</si>
  <si>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</si>
  <si>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</si>
  <si>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</si>
  <si>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</si>
  <si>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</si>
  <si>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</si>
  <si>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</si>
  <si>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</si>
  <si>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</si>
  <si>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</si>
  <si>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</si>
  <si>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</si>
  <si>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</si>
  <si>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</si>
  <si>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</si>
  <si>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</si>
  <si>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</si>
  <si>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</si>
  <si>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</si>
  <si>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</si>
  <si>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</si>
  <si>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</si>
  <si>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</si>
  <si>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</si>
  <si>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</si>
  <si>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</si>
  <si>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</si>
  <si>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</si>
  <si>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</si>
  <si>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</si>
  <si>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</si>
  <si>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</si>
  <si>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</si>
  <si>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</si>
  <si>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</si>
  <si>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</si>
  <si>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</si>
  <si>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</si>
  <si>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</si>
  <si>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</si>
  <si>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</si>
  <si>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</si>
  <si>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</si>
  <si>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</si>
  <si>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</si>
  <si>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</si>
  <si>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</si>
  <si>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</si>
  <si>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</si>
  <si>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</si>
  <si>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</si>
  <si>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</si>
  <si>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</si>
  <si>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</si>
  <si>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</si>
  <si>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</si>
  <si>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</si>
  <si>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</si>
  <si>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</si>
  <si>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</si>
  <si>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</si>
  <si>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</si>
  <si>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</si>
  <si>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</si>
  <si>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</si>
  <si>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</si>
  <si>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</si>
  <si>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</si>
  <si>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</si>
  <si>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</si>
  <si>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</si>
  <si>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</si>
  <si>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</si>
  <si>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</si>
  <si>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</si>
  <si>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</si>
  <si>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</si>
  <si>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</si>
  <si>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</si>
  <si>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</si>
  <si>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</si>
  <si>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</si>
  <si>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</si>
  <si>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</si>
  <si>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</si>
  <si>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</si>
  <si>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</si>
  <si>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</si>
  <si>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</si>
  <si>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</si>
  <si>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</si>
  <si>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</si>
  <si>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</si>
  <si>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</si>
  <si>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</si>
  <si>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</si>
  <si>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</si>
  <si>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</si>
  <si>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</si>
  <si>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</si>
  <si>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</si>
  <si>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</si>
  <si>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</si>
  <si>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</si>
  <si>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</si>
  <si>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</si>
  <si>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</si>
  <si>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</si>
  <si>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</si>
  <si>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</si>
  <si>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</si>
  <si>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</si>
  <si>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</si>
  <si>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</si>
  <si>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</si>
  <si>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</si>
  <si>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</si>
  <si>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</si>
  <si>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</si>
  <si>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</si>
  <si>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</si>
  <si>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</si>
  <si>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</si>
  <si>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</si>
  <si>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</si>
  <si>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</si>
  <si>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</si>
  <si>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</si>
  <si>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</si>
  <si>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</si>
  <si>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</si>
  <si>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</si>
  <si>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</si>
  <si>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</si>
  <si>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</si>
  <si>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</si>
  <si>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</si>
  <si>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</si>
  <si>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</si>
  <si>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</si>
  <si>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</si>
  <si>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</si>
  <si>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</si>
  <si>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</si>
  <si>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</si>
  <si>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</si>
  <si>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</si>
  <si>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</si>
  <si>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</si>
  <si>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</si>
  <si>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</si>
  <si>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</si>
  <si>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</si>
  <si>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</si>
  <si>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</si>
  <si>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</si>
  <si>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</si>
  <si>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</si>
  <si>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</si>
  <si>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</si>
  <si>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</si>
  <si>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</si>
  <si>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</si>
  <si>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</si>
  <si>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</si>
  <si>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</si>
  <si>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</si>
  <si>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</si>
  <si>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</si>
  <si>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</si>
  <si>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</si>
  <si>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</si>
  <si>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</si>
  <si>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</si>
  <si>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</si>
  <si>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</si>
  <si>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</si>
  <si>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</si>
  <si>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</si>
  <si>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</si>
  <si>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</si>
  <si>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</si>
  <si>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</si>
  <si>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</si>
  <si>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</si>
  <si>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</si>
  <si>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</si>
  <si>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</si>
  <si>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</si>
  <si>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</si>
  <si>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</si>
  <si>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</si>
  <si>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</si>
  <si>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</si>
  <si>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</si>
  <si>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</si>
  <si>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</si>
  <si>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</si>
  <si>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</si>
  <si>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</si>
  <si>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</si>
  <si>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</si>
  <si>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</si>
  <si>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</si>
  <si>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</si>
  <si>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</si>
  <si>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</si>
  <si>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</si>
  <si>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</si>
  <si>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</si>
  <si>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</si>
  <si>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</si>
  <si>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</si>
  <si>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</si>
  <si>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</si>
  <si>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</si>
  <si>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</si>
  <si>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</si>
  <si>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</si>
  <si>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</si>
  <si>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</si>
  <si>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</si>
  <si>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</si>
  <si>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</si>
  <si>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</si>
  <si>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</si>
  <si>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</si>
  <si>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</si>
  <si>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</si>
  <si>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</si>
  <si>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</si>
  <si>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</si>
  <si>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</si>
  <si>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</si>
  <si>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</si>
  <si>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</si>
  <si>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</si>
  <si>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</si>
  <si>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</si>
  <si>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</si>
  <si>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</si>
  <si>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</si>
  <si>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</si>
  <si>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</si>
  <si>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</si>
  <si>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</si>
  <si>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</si>
  <si>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</si>
  <si>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</si>
  <si>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</si>
  <si>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</si>
  <si>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</si>
  <si>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</si>
  <si>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</si>
  <si>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</si>
  <si>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</si>
  <si>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</si>
  <si>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</si>
  <si>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</si>
  <si>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</si>
  <si>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</si>
  <si>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</si>
  <si>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</si>
  <si>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</si>
  <si>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</si>
  <si>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</si>
  <si>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</si>
  <si>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</si>
  <si>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</si>
  <si>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</si>
  <si>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</si>
  <si>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</si>
  <si>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</si>
  <si>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</si>
  <si>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</si>
  <si>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</si>
  <si>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</si>
  <si>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</si>
  <si>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</si>
  <si>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</si>
  <si>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</si>
  <si>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</si>
  <si>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</si>
  <si>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</si>
  <si>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</si>
  <si>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</si>
  <si>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</si>
  <si>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</si>
  <si>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</si>
  <si>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</si>
  <si>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</si>
  <si>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</si>
  <si>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</si>
  <si>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</si>
  <si>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</si>
  <si>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</si>
  <si>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</si>
  <si>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</si>
  <si>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</si>
  <si>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</si>
  <si>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</si>
  <si>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</si>
  <si>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</si>
  <si>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</si>
  <si>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</si>
  <si>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</si>
  <si>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</si>
  <si>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</si>
  <si>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</si>
  <si>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</si>
  <si>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</si>
  <si>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</si>
  <si>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</si>
  <si>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</si>
  <si>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</si>
  <si>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</si>
  <si>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</si>
  <si>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</si>
  <si>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</si>
  <si>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</si>
  <si>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</si>
  <si>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</si>
  <si>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</si>
  <si>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</si>
  <si>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</si>
  <si>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</si>
  <si>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</si>
  <si>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</si>
  <si>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</si>
  <si>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</si>
  <si>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</si>
  <si>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</si>
  <si>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</si>
  <si>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</si>
  <si>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</si>
  <si>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</si>
  <si>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</si>
  <si>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</si>
  <si>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</si>
  <si>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</si>
  <si>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</si>
  <si>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</si>
  <si>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</si>
  <si>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</si>
  <si>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</si>
  <si>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</si>
  <si>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</si>
  <si>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</si>
  <si>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</si>
  <si>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</si>
  <si>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</si>
  <si>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</si>
  <si>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</si>
  <si>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</si>
  <si>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</si>
  <si>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</si>
  <si>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</si>
  <si>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</si>
  <si>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</si>
  <si>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</si>
  <si>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</si>
  <si>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</si>
  <si>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</si>
  <si>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</si>
  <si>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</si>
  <si>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</si>
  <si>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</si>
  <si>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</si>
  <si>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</si>
  <si>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</si>
  <si>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</si>
  <si>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</si>
  <si>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</si>
  <si>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</si>
  <si>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</si>
  <si>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</si>
  <si>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</si>
  <si>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</si>
  <si>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</si>
  <si>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</si>
  <si>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</si>
  <si>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</si>
  <si>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</si>
  <si>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</si>
  <si>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</si>
  <si>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</si>
  <si>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</si>
  <si>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</si>
  <si>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</si>
  <si>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</si>
  <si>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</si>
  <si>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</si>
  <si>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</si>
  <si>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</si>
  <si>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</si>
  <si>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</si>
  <si>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</si>
  <si>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</si>
  <si>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</si>
  <si>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</si>
  <si>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</si>
  <si>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</si>
  <si>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</si>
  <si>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</si>
  <si>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</si>
  <si>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</si>
  <si>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</si>
  <si>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</si>
  <si>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</si>
  <si>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</si>
  <si>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</si>
  <si>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</si>
  <si>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</si>
  <si>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</si>
  <si>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</si>
  <si>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</si>
  <si>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</si>
  <si>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</si>
  <si>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</si>
  <si>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</si>
  <si>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</si>
  <si>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</si>
  <si>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</si>
  <si>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</si>
  <si>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</si>
  <si>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</si>
  <si>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</si>
  <si>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</si>
  <si>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</si>
  <si>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</si>
  <si>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</si>
  <si>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</si>
  <si>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</si>
  <si>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</si>
  <si>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</si>
  <si>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</si>
  <si>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</si>
  <si>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</si>
  <si>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</si>
  <si>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</si>
  <si>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</si>
  <si>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</si>
  <si>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</si>
  <si>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</si>
  <si>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</si>
  <si>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</si>
  <si>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</si>
  <si>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</si>
  <si>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</si>
  <si>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</si>
  <si>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</si>
  <si>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</si>
  <si>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</si>
  <si>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</si>
  <si>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</si>
  <si>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</si>
  <si>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</si>
  <si>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</si>
  <si>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</si>
  <si>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</si>
  <si>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</si>
  <si>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</si>
  <si>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</si>
  <si>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</si>
  <si>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</si>
  <si>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</si>
  <si>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</si>
  <si>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</si>
  <si>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</si>
  <si>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</si>
  <si>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</si>
  <si>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</si>
  <si>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</si>
  <si>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</si>
  <si>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</si>
  <si>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</si>
  <si>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</si>
  <si>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</si>
  <si>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</si>
  <si>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</si>
  <si>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</si>
  <si>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</si>
  <si>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</si>
  <si>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</si>
  <si>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</si>
  <si>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</si>
  <si>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</si>
  <si>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</si>
  <si>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</si>
  <si>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</si>
  <si>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</si>
  <si>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</si>
  <si>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</si>
  <si>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</si>
  <si>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</si>
  <si>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</si>
  <si>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</si>
  <si>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</si>
  <si>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</si>
  <si>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</si>
  <si>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</si>
  <si>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</si>
  <si>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</si>
  <si>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</si>
  <si>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</si>
  <si>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</si>
  <si>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</si>
  <si>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</si>
  <si>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</si>
  <si>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</si>
  <si>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</si>
  <si>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</si>
  <si>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</si>
  <si>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</si>
  <si>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</si>
  <si>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</si>
  <si>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</si>
  <si>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</si>
  <si>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</si>
  <si>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</si>
  <si>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</si>
  <si>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</si>
  <si>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</si>
  <si>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</si>
  <si>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</si>
  <si>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</si>
  <si>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</si>
  <si>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</si>
  <si>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</si>
  <si>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</si>
  <si>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</si>
  <si>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</si>
  <si>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</si>
  <si>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</si>
  <si>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</si>
  <si>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</si>
  <si>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</si>
  <si>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</si>
  <si>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</si>
  <si>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</si>
  <si>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</si>
  <si>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</si>
  <si>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</si>
  <si>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</si>
  <si>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</si>
  <si>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</si>
  <si>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</si>
  <si>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</si>
  <si>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</si>
  <si>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</si>
  <si>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</si>
  <si>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</si>
  <si>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</si>
  <si>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</si>
  <si>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</si>
  <si>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</si>
  <si>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</si>
  <si>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</si>
  <si>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</si>
  <si>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</si>
  <si>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</si>
  <si>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</si>
  <si>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</si>
  <si>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</si>
  <si>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</si>
  <si>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</si>
  <si>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</si>
  <si>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</si>
  <si>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</si>
  <si>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</si>
  <si>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</si>
  <si>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</si>
  <si>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</si>
  <si>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</si>
  <si>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</si>
  <si>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</si>
  <si>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</si>
  <si>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</si>
  <si>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</si>
  <si>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</si>
  <si>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</si>
  <si>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</si>
  <si>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</si>
  <si>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</si>
  <si>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</si>
  <si>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</si>
  <si>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</si>
  <si>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</si>
  <si>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</si>
  <si>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</si>
  <si>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</si>
  <si>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</si>
  <si>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</si>
  <si>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</si>
  <si>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</si>
  <si>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</si>
  <si>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</si>
  <si>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</si>
  <si>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</si>
  <si>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</si>
  <si>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</si>
  <si>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</si>
  <si>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</si>
  <si>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</si>
  <si>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</si>
  <si>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</si>
  <si>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</si>
  <si>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</si>
  <si>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</si>
  <si>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</si>
  <si>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</si>
  <si>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</si>
  <si>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</si>
  <si>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</si>
  <si>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</si>
  <si>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</si>
  <si>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</si>
  <si>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</si>
  <si>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</si>
  <si>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</si>
  <si>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</si>
  <si>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</si>
  <si>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</si>
  <si>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</si>
  <si>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</si>
  <si>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</si>
  <si>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</si>
  <si>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</si>
  <si>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</si>
  <si>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</si>
  <si>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</si>
  <si>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</si>
  <si>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</si>
  <si>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</si>
  <si>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</si>
  <si>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</si>
  <si>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</si>
  <si>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</si>
  <si>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</si>
  <si>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</si>
  <si>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</si>
  <si>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</si>
  <si>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</si>
  <si>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</si>
  <si>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</si>
  <si>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</si>
  <si>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</si>
  <si>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</si>
  <si>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</si>
  <si>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</si>
  <si>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</si>
  <si>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</si>
  <si>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</si>
  <si>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</si>
  <si>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</si>
  <si>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</si>
  <si>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</si>
  <si>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</si>
  <si>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</si>
  <si>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</si>
  <si>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</si>
  <si>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</si>
  <si>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</si>
  <si>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</si>
  <si>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</si>
  <si>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</si>
  <si>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</si>
  <si>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</si>
  <si>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</si>
  <si>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</si>
  <si>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</si>
  <si>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</si>
  <si>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</si>
  <si>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</si>
  <si>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</si>
  <si>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</si>
  <si>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</si>
  <si>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</si>
  <si>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</si>
  <si>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</si>
  <si>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</si>
  <si>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</si>
  <si>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</si>
  <si>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</si>
  <si>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</si>
  <si>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</si>
  <si>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</si>
  <si>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</si>
  <si>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</si>
  <si>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</si>
  <si>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</si>
  <si>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</si>
  <si>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</si>
  <si>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</si>
  <si>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</si>
  <si>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</si>
  <si>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</si>
  <si>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</si>
  <si>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</si>
  <si>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</si>
  <si>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</si>
  <si>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</si>
  <si>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</si>
  <si>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</si>
  <si>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</si>
  <si>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</si>
  <si>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</si>
  <si>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</si>
  <si>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</si>
  <si>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</si>
  <si>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</si>
  <si>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</si>
  <si>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</si>
  <si>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</si>
  <si>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</si>
  <si>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</si>
  <si>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</si>
  <si>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</si>
  <si>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</si>
  <si>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</si>
  <si>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</si>
  <si>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</si>
  <si>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</si>
  <si>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</si>
  <si>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</si>
  <si>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</si>
  <si>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</si>
  <si>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</si>
  <si>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</si>
  <si>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</si>
  <si>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</si>
  <si>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</si>
  <si>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</si>
  <si>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</si>
  <si>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</si>
  <si>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</si>
  <si>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</si>
  <si>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</si>
  <si>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</si>
  <si>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</si>
  <si>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</si>
  <si>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</si>
  <si>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</si>
  <si>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</si>
  <si>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</si>
  <si>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</si>
  <si>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</si>
  <si>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</si>
  <si>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</si>
  <si>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</si>
  <si>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</si>
  <si>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</si>
  <si>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</si>
  <si>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</si>
  <si>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</si>
  <si>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</si>
  <si>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</si>
  <si>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</si>
  <si>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</si>
  <si>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</si>
  <si>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</si>
  <si>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</si>
  <si>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</si>
  <si>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</si>
  <si>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</si>
  <si>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</si>
  <si>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</si>
  <si>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</si>
  <si>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</si>
  <si>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</si>
  <si>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</si>
  <si>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</si>
  <si>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</si>
  <si>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</si>
  <si>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</si>
  <si>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</si>
  <si>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</si>
  <si>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</si>
  <si>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</si>
  <si>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</si>
  <si>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</si>
  <si>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</si>
  <si>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</si>
  <si>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</si>
  <si>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</si>
  <si>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</si>
  <si>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</si>
  <si>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</si>
  <si>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</si>
  <si>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</si>
  <si>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</si>
  <si>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</si>
  <si>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</si>
  <si>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</si>
  <si>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</si>
  <si>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</si>
  <si>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</si>
  <si>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</si>
  <si>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</si>
  <si>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</si>
  <si>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</si>
  <si>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</si>
  <si>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</si>
  <si>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</si>
  <si>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</si>
  <si>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</si>
  <si>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</si>
  <si>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</si>
  <si>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</si>
  <si>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</si>
  <si>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</si>
  <si>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</si>
  <si>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</si>
  <si>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</si>
  <si>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</si>
  <si>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</si>
  <si>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</si>
  <si>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</si>
  <si>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</si>
  <si>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</si>
  <si>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</si>
  <si>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</si>
  <si>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</si>
  <si>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</si>
  <si>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</si>
  <si>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</si>
  <si>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</si>
  <si>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</si>
  <si>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</si>
  <si>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</si>
  <si>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</si>
  <si>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</si>
  <si>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</si>
  <si>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</si>
  <si>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</si>
  <si>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</si>
  <si>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</si>
  <si>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</si>
  <si>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</si>
  <si>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</si>
  <si>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</si>
  <si>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</si>
  <si>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</si>
  <si>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</si>
  <si>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</si>
  <si>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</si>
  <si>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</si>
  <si>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</si>
  <si>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</si>
  <si>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</si>
  <si>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</si>
  <si>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</si>
  <si>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</si>
  <si>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</si>
  <si>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</si>
  <si>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</si>
  <si>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</si>
  <si>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</si>
  <si>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</si>
  <si>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</si>
  <si>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</si>
  <si>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</si>
  <si>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</si>
  <si>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</si>
  <si>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</si>
  <si>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</si>
  <si>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</si>
  <si>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</si>
  <si>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</si>
  <si>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</si>
  <si>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</si>
  <si>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</si>
  <si>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</si>
  <si>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</si>
  <si>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</si>
  <si>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</si>
  <si>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</si>
  <si>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</si>
  <si>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</si>
  <si>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</si>
  <si>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</si>
  <si>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</si>
  <si>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</si>
  <si>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</si>
  <si>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</si>
  <si>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</si>
  <si>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</si>
  <si>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</si>
  <si>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</si>
  <si>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</si>
  <si>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</si>
  <si>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</si>
  <si>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</si>
  <si>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</si>
  <si>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</si>
  <si>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</si>
  <si>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</si>
  <si>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</si>
  <si>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</si>
  <si>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</si>
  <si>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</si>
  <si>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</si>
  <si>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</si>
  <si>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</si>
  <si>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</si>
  <si>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</si>
  <si>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</si>
  <si>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</si>
  <si>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</si>
  <si>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</si>
  <si>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</si>
  <si>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</si>
  <si>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</si>
  <si>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</si>
  <si>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</si>
  <si>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</si>
  <si>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</si>
  <si>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</si>
  <si>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</si>
  <si>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</si>
  <si>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</si>
  <si>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</si>
  <si>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</si>
  <si>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</si>
  <si>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</si>
  <si>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</si>
  <si>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</si>
  <si>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</si>
  <si>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</si>
  <si>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</si>
  <si>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</si>
  <si>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</si>
  <si>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</si>
  <si>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</si>
  <si>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</si>
  <si>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</si>
  <si>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</si>
  <si>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</si>
  <si>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</si>
  <si>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</si>
  <si>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</si>
  <si>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</si>
  <si>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</si>
  <si>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</si>
  <si>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</si>
  <si>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</si>
  <si>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</si>
  <si>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</si>
  <si>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</si>
  <si>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</si>
  <si>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</si>
  <si>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</si>
  <si>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</si>
  <si>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</si>
  <si>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</si>
  <si>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</si>
  <si>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</si>
  <si>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</si>
  <si>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</si>
  <si>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</si>
  <si>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</si>
  <si>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</si>
  <si>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</si>
  <si>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</si>
  <si>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</si>
  <si>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</si>
  <si>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</si>
  <si>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</si>
  <si>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</si>
  <si>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</si>
  <si>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</si>
  <si>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</si>
  <si>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</si>
  <si>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</si>
  <si>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</si>
  <si>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</si>
  <si>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</si>
  <si>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</si>
  <si>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</si>
  <si>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</si>
  <si>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</si>
  <si>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</si>
  <si>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</si>
  <si>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</si>
  <si>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</si>
  <si>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</si>
  <si>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</si>
  <si>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</si>
  <si>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</si>
  <si>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</si>
  <si>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</si>
  <si>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</si>
  <si>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</si>
  <si>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</si>
  <si>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</si>
  <si>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</si>
  <si>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</si>
  <si>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</si>
  <si>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</si>
  <si>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</si>
  <si>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</si>
  <si>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</si>
  <si>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</si>
  <si>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</si>
  <si>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</si>
  <si>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</si>
  <si>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</si>
  <si>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</si>
  <si>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</si>
  <si>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</si>
  <si>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</si>
  <si>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</si>
  <si>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</si>
  <si>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</si>
  <si>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</si>
  <si>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</si>
  <si>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</si>
  <si>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</si>
  <si>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</si>
  <si>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</si>
  <si>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</si>
  <si>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</si>
  <si>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</si>
  <si>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</si>
  <si>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</si>
  <si>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</si>
  <si>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</si>
  <si>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</si>
  <si>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</si>
  <si>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</si>
  <si>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</si>
  <si>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</si>
  <si>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</si>
  <si>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</si>
  <si>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</si>
  <si>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</si>
  <si>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</si>
  <si>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</si>
  <si>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</si>
  <si>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</si>
  <si>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</si>
  <si>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</si>
  <si>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</si>
  <si>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</si>
  <si>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</si>
  <si>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</si>
  <si>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</si>
  <si>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</si>
  <si>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</si>
  <si>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</si>
  <si>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</si>
  <si>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</si>
  <si>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</si>
  <si>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</si>
  <si>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</si>
  <si>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</si>
  <si>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</si>
  <si>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</si>
  <si>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</si>
  <si>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</si>
  <si>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</si>
  <si>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</si>
  <si>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</si>
  <si>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</si>
  <si>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</si>
  <si>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</si>
  <si>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</si>
  <si>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</si>
  <si>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</si>
  <si>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</si>
  <si>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</si>
  <si>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</si>
  <si>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</si>
  <si>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</si>
  <si>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</si>
  <si>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</si>
  <si>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</si>
  <si>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</si>
  <si>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</si>
  <si>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</si>
  <si>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</si>
  <si>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</si>
  <si>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</si>
  <si>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</si>
  <si>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</si>
  <si>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</si>
  <si>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</si>
  <si>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</si>
  <si>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</si>
  <si>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</si>
  <si>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</si>
  <si>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</si>
  <si>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</si>
  <si>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</si>
  <si>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</si>
  <si>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</si>
  <si>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</si>
  <si>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</si>
  <si>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</si>
  <si>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</si>
  <si>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</si>
  <si>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</si>
  <si>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</si>
  <si>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</si>
  <si>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</si>
  <si>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</si>
  <si>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</si>
  <si>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</si>
  <si>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</si>
  <si>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</si>
  <si>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</si>
  <si>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</si>
  <si>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</si>
  <si>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</si>
  <si>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</si>
  <si>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</si>
  <si>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</si>
  <si>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</si>
  <si>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</si>
  <si>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</si>
  <si>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</si>
  <si>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</si>
  <si>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</si>
  <si>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</si>
  <si>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</si>
  <si>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</si>
  <si>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</si>
  <si>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</si>
  <si>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</si>
  <si>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</si>
  <si>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</si>
  <si>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</si>
  <si>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</si>
  <si>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</si>
  <si>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</si>
  <si>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</si>
  <si>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</si>
  <si>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</si>
  <si>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</si>
  <si>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</si>
  <si>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</si>
  <si>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</si>
  <si>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</si>
  <si>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</si>
  <si>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</si>
  <si>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</si>
  <si>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</si>
  <si>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</si>
  <si>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</si>
  <si>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</si>
  <si>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</si>
  <si>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</si>
  <si>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</si>
  <si>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</si>
  <si>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</si>
  <si>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</si>
  <si>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</si>
  <si>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</si>
  <si>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</si>
  <si>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</si>
  <si>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</si>
  <si>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</si>
  <si>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</si>
  <si>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</si>
  <si>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</si>
  <si>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</si>
  <si>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</si>
  <si>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</si>
  <si>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</si>
  <si>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</si>
  <si>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</si>
  <si>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</si>
  <si>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</si>
  <si>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</si>
  <si>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</si>
  <si>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</si>
  <si>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</si>
  <si>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</si>
  <si>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</si>
  <si>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</si>
  <si>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</si>
  <si>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</si>
  <si>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</si>
  <si>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</si>
  <si>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</si>
  <si>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</si>
  <si>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</si>
  <si>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</si>
  <si>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</si>
  <si>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</si>
  <si>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</si>
  <si>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</si>
  <si>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</si>
  <si>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</si>
  <si>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</si>
  <si>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</si>
  <si>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</si>
  <si>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</si>
  <si>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</si>
  <si>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</si>
  <si>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</si>
  <si>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</si>
  <si>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</si>
  <si>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</si>
  <si>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</si>
  <si>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</si>
  <si>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</si>
  <si>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</si>
  <si>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</si>
  <si>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</si>
  <si>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</si>
  <si>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</si>
  <si>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</si>
  <si>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</si>
  <si>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</si>
  <si>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</si>
  <si>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</si>
  <si>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</si>
  <si>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</si>
  <si>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</si>
  <si>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</si>
  <si>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</si>
  <si>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</si>
  <si>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</si>
  <si>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</si>
  <si>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</si>
  <si>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</si>
  <si>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</si>
  <si>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</si>
  <si>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</si>
  <si>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</si>
  <si>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</si>
  <si>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</si>
  <si>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</si>
  <si>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</si>
  <si>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</si>
  <si>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</si>
  <si>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</si>
  <si>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</si>
  <si>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</si>
  <si>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</si>
  <si>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</si>
  <si>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</si>
  <si>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</si>
  <si>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</si>
  <si>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</si>
  <si>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</si>
  <si>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</si>
  <si>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</si>
  <si>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</si>
  <si>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</si>
  <si>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</si>
  <si>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</si>
  <si>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</si>
  <si>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</si>
  <si>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</si>
  <si>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</si>
  <si>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</si>
  <si>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</si>
  <si>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</si>
  <si>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</si>
  <si>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</si>
  <si>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</si>
  <si>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</si>
  <si>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</si>
  <si>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</si>
  <si>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</si>
  <si>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</si>
  <si>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</si>
  <si>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</si>
  <si>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</si>
  <si>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</si>
  <si>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</si>
  <si>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</si>
  <si>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</si>
  <si>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</si>
  <si>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</si>
  <si>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</si>
  <si>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</si>
  <si>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</si>
  <si>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</si>
  <si>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</si>
  <si>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</si>
  <si>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</si>
  <si>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</si>
  <si>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</si>
  <si>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</si>
  <si>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</si>
  <si>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</si>
  <si>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</si>
  <si>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</si>
  <si>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</si>
  <si>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</si>
  <si>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</si>
  <si>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</si>
  <si>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</si>
  <si>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</si>
  <si>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</si>
  <si>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</si>
  <si>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</si>
  <si>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</si>
  <si>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</si>
  <si>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</si>
  <si>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</si>
  <si>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</si>
  <si>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</si>
  <si>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</si>
  <si>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</si>
  <si>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</si>
  <si>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</si>
  <si>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</si>
  <si>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</si>
  <si>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</si>
  <si>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</si>
  <si>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</si>
  <si>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</si>
  <si>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</si>
  <si>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</si>
  <si>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</si>
  <si>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</si>
  <si>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</si>
  <si>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</si>
  <si>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</si>
  <si>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</si>
  <si>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</si>
  <si>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</si>
  <si>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</si>
  <si>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</si>
  <si>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</si>
  <si>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</si>
  <si>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</si>
  <si>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</si>
  <si>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</si>
  <si>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</si>
  <si>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</si>
  <si>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</si>
  <si>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</si>
  <si>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</si>
  <si>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</si>
  <si>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</si>
  <si>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</si>
  <si>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</si>
  <si>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</si>
  <si>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</si>
  <si>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</si>
  <si>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</si>
  <si>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</si>
  <si>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</si>
  <si>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</si>
  <si>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</si>
  <si>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</si>
  <si>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</si>
  <si>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</si>
  <si>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</si>
  <si>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</si>
  <si>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</si>
  <si>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</si>
  <si>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</si>
  <si>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</si>
  <si>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</si>
  <si>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</si>
  <si>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</si>
  <si>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</si>
  <si>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</si>
  <si>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</si>
  <si>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</si>
  <si>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</si>
  <si>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</si>
  <si>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</si>
  <si>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</si>
  <si>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</si>
  <si>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</si>
  <si>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</si>
  <si>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</si>
  <si>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</si>
  <si>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</si>
  <si>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</si>
  <si>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</si>
  <si>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</si>
  <si>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</si>
  <si>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</si>
  <si>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</si>
  <si>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</si>
  <si>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</si>
  <si>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</si>
  <si>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</si>
  <si>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</si>
  <si>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</si>
  <si>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</si>
  <si>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</si>
  <si>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</si>
  <si>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</si>
  <si>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</si>
  <si>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</si>
  <si>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</si>
  <si>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</si>
  <si>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</si>
  <si>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</si>
  <si>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</si>
  <si>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</si>
  <si>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</si>
  <si>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</si>
  <si>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</si>
  <si>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</si>
  <si>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</si>
  <si>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</si>
  <si>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</si>
  <si>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</si>
  <si>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</si>
  <si>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</si>
  <si>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</si>
  <si>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</si>
  <si>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</si>
  <si>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</si>
  <si>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</si>
  <si>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</si>
  <si>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</si>
  <si>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</si>
  <si>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</si>
  <si>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</si>
  <si>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</si>
  <si>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</si>
  <si>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</si>
  <si>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</si>
  <si>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</si>
  <si>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</si>
  <si>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</si>
  <si>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</si>
  <si>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</si>
  <si>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</si>
  <si>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</si>
  <si>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</si>
  <si>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</si>
  <si>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</si>
  <si>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</si>
  <si>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</si>
  <si>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</si>
  <si>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</si>
  <si>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</si>
  <si>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</si>
  <si>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</si>
  <si>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</si>
  <si>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</si>
  <si>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</si>
  <si>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</si>
  <si>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</si>
  <si>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</si>
  <si>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</si>
  <si>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</si>
  <si>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</si>
  <si>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</si>
  <si>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</si>
  <si>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</si>
  <si>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</si>
  <si>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</si>
  <si>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</si>
  <si>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</si>
  <si>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</si>
  <si>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</si>
  <si>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</si>
  <si>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</si>
  <si>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</si>
  <si>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</si>
  <si>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</si>
  <si>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</si>
  <si>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</si>
  <si>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</si>
  <si>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</si>
  <si>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</si>
  <si>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</si>
  <si>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</si>
  <si>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</si>
  <si>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</si>
  <si>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</si>
  <si>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</si>
  <si>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</si>
  <si>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</si>
  <si>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</si>
  <si>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</si>
  <si>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</si>
  <si>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</si>
  <si>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</si>
  <si>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</si>
  <si>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</si>
  <si>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</si>
  <si>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</si>
  <si>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</si>
  <si>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</si>
  <si>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</si>
  <si>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</si>
  <si>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</si>
  <si>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</si>
  <si>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</si>
  <si>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</si>
  <si>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</si>
  <si>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</si>
  <si>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</si>
  <si>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</si>
  <si>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</si>
  <si>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</si>
  <si>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</si>
  <si>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</si>
  <si>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</si>
  <si>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</si>
  <si>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</si>
  <si>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</si>
  <si>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</si>
  <si>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</si>
  <si>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</si>
  <si>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</si>
  <si>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</si>
  <si>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</si>
  <si>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</si>
  <si>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</si>
  <si>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</si>
  <si>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</si>
  <si>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</si>
  <si>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</si>
  <si>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</si>
  <si>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</si>
  <si>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</si>
  <si>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</si>
  <si>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</si>
  <si>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</si>
  <si>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</si>
  <si>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</si>
  <si>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</si>
  <si>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</si>
  <si>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</si>
  <si>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</si>
  <si>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</si>
  <si>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</si>
  <si>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</si>
  <si>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</si>
  <si>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</si>
  <si>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</si>
  <si>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</si>
  <si>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</si>
  <si>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</si>
  <si>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</si>
  <si>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</si>
  <si>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</si>
  <si>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</si>
  <si>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</si>
  <si>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</si>
  <si>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</si>
  <si>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</si>
  <si>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</si>
  <si>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</si>
  <si>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</si>
  <si>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</si>
  <si>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</si>
  <si>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</si>
  <si>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</si>
  <si>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</si>
  <si>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</si>
  <si>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</si>
  <si>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</si>
  <si>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</si>
  <si>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</si>
  <si>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</si>
  <si>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</si>
  <si>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</si>
  <si>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</si>
  <si>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</si>
  <si>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</si>
  <si>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</si>
  <si>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</si>
  <si>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</si>
  <si>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</si>
  <si>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</si>
  <si>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</si>
  <si>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</si>
  <si>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</si>
  <si>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</si>
  <si>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</si>
  <si>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</si>
  <si>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</si>
  <si>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</si>
  <si>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</si>
  <si>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</si>
  <si>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</si>
  <si>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</si>
  <si>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</si>
  <si>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</si>
  <si>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</si>
  <si>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</si>
  <si>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</si>
  <si>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</si>
  <si>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</si>
  <si>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</si>
  <si>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</si>
  <si>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</si>
  <si>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</si>
  <si>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</si>
  <si>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</si>
  <si>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</si>
  <si>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</si>
  <si>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</si>
  <si>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</si>
  <si>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</si>
  <si>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</si>
  <si>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</si>
  <si>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</si>
  <si>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</si>
  <si>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</si>
  <si>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</si>
  <si>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</si>
  <si>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</si>
  <si>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</si>
  <si>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</si>
  <si>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</si>
  <si>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</si>
  <si>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</si>
  <si>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</si>
  <si>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</si>
  <si>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</si>
  <si>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</si>
  <si>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</si>
  <si>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</si>
  <si>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</si>
  <si>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</si>
  <si>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</si>
  <si>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</si>
  <si>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</si>
  <si>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</si>
  <si>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</si>
  <si>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</si>
  <si>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</si>
  <si>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</si>
  <si>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</si>
  <si>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</si>
  <si>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</si>
  <si>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</si>
  <si>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</si>
  <si>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</si>
  <si>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</si>
  <si>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</si>
  <si>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</si>
  <si>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</si>
  <si>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</si>
  <si>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</si>
  <si>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</si>
  <si>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</si>
  <si>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</si>
  <si>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</si>
  <si>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</si>
  <si>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</si>
  <si>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</si>
  <si>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</si>
  <si>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</si>
  <si>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</si>
  <si>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</si>
  <si>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</si>
  <si>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</si>
  <si>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</si>
  <si>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</si>
  <si>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</si>
  <si>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</si>
  <si>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</si>
  <si>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</si>
  <si>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</si>
  <si>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</si>
  <si>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</si>
  <si>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</si>
  <si>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</si>
  <si>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</si>
  <si>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</si>
  <si>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</si>
  <si>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</si>
  <si>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</si>
  <si>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</si>
  <si>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</si>
  <si>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</si>
  <si>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</si>
  <si>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</si>
  <si>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</si>
  <si>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</si>
  <si>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</si>
  <si>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</si>
  <si>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</si>
  <si>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</si>
  <si>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</si>
  <si>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</si>
  <si>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</si>
  <si>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</si>
  <si>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</si>
  <si>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</si>
  <si>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</si>
  <si>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</si>
  <si>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</si>
  <si>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</si>
  <si>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</si>
  <si>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</si>
  <si>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</si>
  <si>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</si>
  <si>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</si>
  <si>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</si>
  <si>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</si>
  <si>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</si>
  <si>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</si>
  <si>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</si>
  <si>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</si>
  <si>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</si>
  <si>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</si>
  <si>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</si>
  <si>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</si>
  <si>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</si>
  <si>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</si>
  <si>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</si>
  <si>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</si>
  <si>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</si>
  <si>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</si>
  <si>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</si>
  <si>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</si>
  <si>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</si>
  <si>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</si>
  <si>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</si>
  <si>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</si>
  <si>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</si>
  <si>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</si>
  <si>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</si>
  <si>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</si>
  <si>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</si>
  <si>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</si>
  <si>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</si>
  <si>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</si>
  <si>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</si>
  <si>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</si>
  <si>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</si>
  <si>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</si>
  <si>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</si>
  <si>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</si>
  <si>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</si>
  <si>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</si>
  <si>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</si>
  <si>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</si>
  <si>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</si>
  <si>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</si>
  <si>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</si>
  <si>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</si>
  <si>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</si>
  <si>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</si>
  <si>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</si>
  <si>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</si>
  <si>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</si>
  <si>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</si>
  <si>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</si>
  <si>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</si>
  <si>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</si>
  <si>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</si>
  <si>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</si>
  <si>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</si>
  <si>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</si>
  <si>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</si>
  <si>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</si>
  <si>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</si>
  <si>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</si>
  <si>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</si>
  <si>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</si>
  <si>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</si>
  <si>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</si>
  <si>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</si>
  <si>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</si>
  <si>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</si>
  <si>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</si>
  <si>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</si>
  <si>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</si>
  <si>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</si>
  <si>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</si>
  <si>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</si>
  <si>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</si>
  <si>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</si>
  <si>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</si>
  <si>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</si>
  <si>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</si>
  <si>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</si>
  <si>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</si>
  <si>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</si>
  <si>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</si>
  <si>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</si>
  <si>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</si>
  <si>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</si>
  <si>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</si>
  <si>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</si>
  <si>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</si>
  <si>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</si>
  <si>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</si>
  <si>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</si>
  <si>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</si>
  <si>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</si>
  <si>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</si>
  <si>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</si>
  <si>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</si>
  <si>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</si>
  <si>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</si>
  <si>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</si>
  <si>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</si>
  <si>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</si>
  <si>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</si>
  <si>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</si>
  <si>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</si>
  <si>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</si>
  <si>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</si>
  <si>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</si>
  <si>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</si>
  <si>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</si>
  <si>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</si>
  <si>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</si>
  <si>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</si>
  <si>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</si>
  <si>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</si>
  <si>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</si>
  <si>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</si>
  <si>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</si>
  <si>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</si>
  <si>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</si>
  <si>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</si>
  <si>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</si>
  <si>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</si>
  <si>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</si>
  <si>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</si>
  <si>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</si>
  <si>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</si>
  <si>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</si>
  <si>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</si>
  <si>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</si>
  <si>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</si>
  <si>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</si>
  <si>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</si>
  <si>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</si>
  <si>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</si>
  <si>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</si>
  <si>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</si>
  <si>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</si>
  <si>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</si>
  <si>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</si>
  <si>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</si>
  <si>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</si>
  <si>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</si>
  <si>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</si>
  <si>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</si>
  <si>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</si>
  <si>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</si>
  <si>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</si>
  <si>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</si>
  <si>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</si>
  <si>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</si>
  <si>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</si>
  <si>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</si>
  <si>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</si>
  <si>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</si>
  <si>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</si>
  <si>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</si>
  <si>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</si>
  <si>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</si>
  <si>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</si>
  <si>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</si>
  <si>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</si>
  <si>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</si>
  <si>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</si>
  <si>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</si>
  <si>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</si>
  <si>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</si>
  <si>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</si>
  <si>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</si>
  <si>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</si>
  <si>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</si>
  <si>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</si>
  <si>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</si>
  <si>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</si>
  <si>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</si>
  <si>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</si>
  <si>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</si>
  <si>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</si>
  <si>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</si>
  <si>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</si>
  <si>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</si>
  <si>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</si>
  <si>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</si>
  <si>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</si>
  <si>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</si>
  <si>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</si>
  <si>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</si>
  <si>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</si>
  <si>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</si>
  <si>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</si>
  <si>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</si>
  <si>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</si>
  <si>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</si>
  <si>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</si>
  <si>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</si>
  <si>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</si>
  <si>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</si>
  <si>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</si>
  <si>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</si>
  <si>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</si>
  <si>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</si>
  <si>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</si>
  <si>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</si>
  <si>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</si>
  <si>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</si>
  <si>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</si>
  <si>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</si>
  <si>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</si>
  <si>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</si>
  <si>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</si>
  <si>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</si>
  <si>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</si>
  <si>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</si>
  <si>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</si>
  <si>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</si>
  <si>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</si>
  <si>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</si>
  <si>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</si>
  <si>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</si>
  <si>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</si>
  <si>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</si>
  <si>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</si>
  <si>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</si>
  <si>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</si>
  <si>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</si>
  <si>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</si>
  <si>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</si>
  <si>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</si>
  <si>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</si>
  <si>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</si>
  <si>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</si>
  <si>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</si>
  <si>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</si>
  <si>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</si>
  <si>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</si>
  <si>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</si>
  <si>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</si>
  <si>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</si>
  <si>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</si>
  <si>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</si>
  <si>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</si>
  <si>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</si>
  <si>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</si>
  <si>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</si>
  <si>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</si>
  <si>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</si>
  <si>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</si>
  <si>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</si>
  <si>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</si>
  <si>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</si>
  <si>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</si>
  <si>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</si>
  <si>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</si>
  <si>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</si>
  <si>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</si>
  <si>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</si>
  <si>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</si>
  <si>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</si>
  <si>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</si>
  <si>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</si>
  <si>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</si>
  <si>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</si>
  <si>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</si>
  <si>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</si>
  <si>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</si>
  <si>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</si>
  <si>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</si>
  <si>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</si>
  <si>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</si>
  <si>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</si>
  <si>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</si>
  <si>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</si>
  <si>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</si>
  <si>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</si>
  <si>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</si>
  <si>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</si>
  <si>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</si>
  <si>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</si>
  <si>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</si>
  <si>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</si>
  <si>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</si>
  <si>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</si>
  <si>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</si>
  <si>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</si>
  <si>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</si>
  <si>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</si>
  <si>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</si>
  <si>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</si>
  <si>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</si>
  <si>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</si>
  <si>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</si>
  <si>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</si>
  <si>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</si>
  <si>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</si>
  <si>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</si>
  <si>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</si>
  <si>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</si>
  <si>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</si>
  <si>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</si>
  <si>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</si>
  <si>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</si>
  <si>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</si>
  <si>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</si>
  <si>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</si>
  <si>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</si>
  <si>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</si>
  <si>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</si>
  <si>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</si>
  <si>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</si>
  <si>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</si>
  <si>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</si>
  <si>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</si>
  <si>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</si>
  <si>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</si>
  <si>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</si>
  <si>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</si>
  <si>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</si>
  <si>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</si>
  <si>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</si>
  <si>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</si>
  <si>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</si>
  <si>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</si>
  <si>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</si>
  <si>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</si>
  <si>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</si>
  <si>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</si>
  <si>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</si>
  <si>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</si>
  <si>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</si>
  <si>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</si>
  <si>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</si>
  <si>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</si>
  <si>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</si>
  <si>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</si>
  <si>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</si>
  <si>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</si>
  <si>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</si>
  <si>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</si>
  <si>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</si>
  <si>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</si>
  <si>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</si>
  <si>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</si>
  <si>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</si>
  <si>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</si>
  <si>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</si>
  <si>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</si>
  <si>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</si>
  <si>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</si>
  <si>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</si>
  <si>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</si>
  <si>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</si>
  <si>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</si>
  <si>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</si>
  <si>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</si>
  <si>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</si>
  <si>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</si>
  <si>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</si>
  <si>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</si>
  <si>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</si>
  <si>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</si>
  <si>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</si>
  <si>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</si>
  <si>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</si>
  <si>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</si>
  <si>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</si>
  <si>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</si>
  <si>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</si>
  <si>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</si>
  <si>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</si>
  <si>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</si>
  <si>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</si>
  <si>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</si>
  <si>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</si>
  <si>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</si>
  <si>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</si>
  <si>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</si>
  <si>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</si>
  <si>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</si>
  <si>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</si>
  <si>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</si>
  <si>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</si>
  <si>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</si>
  <si>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</si>
  <si>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</si>
  <si>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</si>
  <si>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</si>
  <si>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</si>
  <si>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</si>
  <si>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</si>
  <si>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</si>
  <si>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</si>
  <si>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</si>
  <si>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</si>
  <si>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</si>
  <si>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</si>
  <si>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</si>
  <si>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</si>
  <si>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</si>
  <si>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</si>
  <si>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</si>
  <si>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</si>
  <si>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</si>
  <si>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</si>
  <si>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</si>
  <si>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</si>
  <si>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</si>
  <si>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</si>
  <si>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</si>
  <si>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</si>
  <si>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</si>
  <si>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</si>
  <si>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</si>
  <si>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</si>
  <si>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</si>
  <si>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</si>
  <si>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</si>
  <si>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</si>
  <si>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</si>
  <si>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</si>
  <si>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</si>
  <si>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</si>
  <si>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</si>
  <si>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</si>
  <si>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</si>
  <si>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</si>
  <si>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</si>
  <si>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</si>
  <si>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</si>
  <si>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</si>
  <si>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</si>
  <si>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</si>
  <si>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</si>
  <si>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</si>
  <si>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</si>
  <si>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</si>
  <si>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</si>
  <si>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</si>
  <si>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</si>
  <si>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</si>
  <si>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</si>
  <si>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</si>
  <si>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</si>
  <si>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</si>
  <si>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</si>
  <si>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</si>
  <si>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</si>
  <si>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</si>
  <si>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</si>
  <si>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</si>
  <si>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</si>
  <si>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</si>
  <si>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</si>
  <si>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</si>
  <si>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</si>
  <si>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</si>
  <si>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</si>
  <si>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</si>
  <si>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</si>
  <si>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</si>
  <si>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</si>
  <si>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</si>
  <si>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</si>
  <si>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</si>
  <si>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</si>
  <si>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</si>
  <si>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</si>
  <si>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</si>
  <si>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</si>
  <si>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</si>
  <si>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</si>
  <si>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</si>
  <si>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</si>
  <si>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</si>
  <si>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</si>
  <si>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</si>
  <si>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</si>
  <si>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</si>
  <si>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</si>
  <si>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</si>
  <si>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</si>
  <si>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</si>
  <si>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</si>
  <si>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</si>
  <si>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</si>
  <si>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</si>
  <si>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</si>
  <si>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</si>
  <si>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</si>
  <si>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</si>
  <si>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</si>
  <si>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</si>
  <si>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</si>
  <si>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</si>
  <si>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</si>
  <si>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</si>
  <si>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</si>
  <si>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</si>
  <si>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</si>
  <si>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</si>
  <si>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</si>
  <si>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</si>
  <si>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</si>
  <si>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</si>
  <si>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</si>
  <si>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</si>
  <si>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</si>
  <si>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</si>
  <si>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</si>
  <si>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</si>
  <si>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</si>
  <si>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</si>
  <si>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</si>
  <si>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</si>
  <si>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</si>
  <si>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</si>
  <si>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</si>
  <si>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</si>
  <si>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</si>
  <si>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</si>
  <si>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</si>
  <si>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</si>
  <si>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</si>
  <si>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</si>
  <si>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</si>
  <si>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</si>
  <si>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</si>
  <si>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</si>
  <si>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</si>
  <si>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</si>
  <si>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</si>
  <si>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</si>
  <si>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</si>
  <si>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</si>
  <si>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</si>
  <si>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</si>
  <si>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</si>
  <si>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</si>
  <si>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</si>
  <si>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</si>
  <si>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</si>
  <si>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</si>
  <si>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</si>
  <si>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</si>
  <si>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</si>
  <si>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</si>
  <si>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</si>
  <si>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</si>
  <si>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</si>
  <si>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</si>
  <si>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</si>
  <si>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</si>
  <si>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</si>
  <si>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</si>
  <si>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</si>
  <si>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</si>
  <si>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</si>
  <si>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</si>
  <si>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</si>
  <si>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</si>
  <si>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</si>
  <si>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</si>
  <si>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</si>
  <si>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</si>
  <si>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</si>
  <si>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</si>
  <si>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</si>
  <si>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</si>
  <si>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</si>
  <si>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</si>
  <si>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</si>
  <si>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</si>
  <si>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</si>
  <si>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</si>
  <si>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</si>
  <si>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</si>
  <si>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</si>
  <si>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</si>
  <si>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</si>
  <si>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</si>
  <si>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</si>
  <si>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</si>
  <si>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</si>
  <si>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</si>
  <si>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</si>
  <si>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</si>
  <si>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</si>
  <si>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</si>
  <si>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</si>
  <si>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</si>
  <si>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</si>
  <si>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</si>
  <si>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</si>
  <si>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</si>
  <si>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</si>
  <si>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</si>
  <si>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</si>
  <si>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</si>
  <si>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</si>
  <si>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</si>
  <si>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</si>
  <si>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</si>
  <si>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</si>
  <si>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</si>
  <si>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</si>
  <si>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</si>
  <si>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</si>
  <si>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</si>
  <si>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</si>
  <si>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</si>
  <si>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</si>
  <si>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</si>
  <si>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</si>
  <si>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</si>
  <si>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</si>
  <si>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</si>
  <si>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</si>
  <si>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</si>
  <si>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</si>
  <si>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</si>
  <si>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</si>
  <si>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</si>
  <si>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</si>
  <si>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</si>
  <si>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</si>
  <si>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</si>
  <si>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</si>
  <si>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</si>
  <si>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</si>
  <si>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</si>
  <si>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</si>
  <si>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</si>
  <si>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</si>
  <si>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</si>
  <si>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</si>
  <si>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</si>
  <si>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</si>
  <si>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</si>
  <si>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</si>
  <si>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</si>
  <si>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</si>
  <si>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</si>
  <si>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</si>
  <si>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</si>
  <si>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</si>
  <si>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</si>
  <si>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</si>
  <si>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</si>
  <si>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</si>
  <si>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</si>
  <si>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</si>
  <si>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</si>
  <si>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</si>
  <si>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</si>
  <si>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</si>
  <si>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</si>
  <si>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</si>
  <si>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</si>
  <si>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</si>
  <si>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</si>
  <si>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</si>
  <si>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</si>
  <si>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</si>
  <si>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</si>
  <si>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</si>
  <si>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</si>
  <si>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</si>
  <si>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</si>
  <si>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</si>
  <si>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</si>
  <si>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</si>
  <si>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</si>
  <si>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</si>
  <si>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</si>
  <si>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</si>
  <si>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</si>
  <si>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</si>
  <si>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</si>
  <si>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</si>
  <si>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</si>
  <si>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</si>
  <si>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</si>
  <si>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</si>
  <si>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</si>
  <si>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</si>
  <si>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</si>
  <si>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</si>
  <si>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</si>
  <si>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</si>
  <si>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</si>
  <si>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</si>
  <si>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</si>
  <si>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</si>
  <si>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</si>
  <si>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</si>
  <si>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</si>
  <si>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</si>
  <si>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</si>
  <si>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</si>
  <si>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</si>
  <si>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</si>
  <si>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</si>
  <si>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</si>
  <si>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</si>
  <si>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</si>
  <si>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</si>
  <si>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</si>
  <si>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</si>
  <si>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</si>
  <si>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</si>
  <si>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</si>
  <si>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</si>
  <si>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</si>
  <si>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</si>
  <si>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</si>
  <si>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</si>
  <si>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</si>
  <si>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</si>
  <si>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</si>
  <si>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</si>
  <si>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</si>
  <si>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</si>
  <si>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</si>
  <si>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</si>
  <si>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</si>
  <si>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</si>
  <si>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</si>
  <si>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</si>
  <si>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</si>
  <si>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</si>
  <si>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</si>
  <si>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</si>
  <si>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</si>
  <si>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</si>
  <si>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</si>
  <si>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</si>
  <si>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</si>
  <si>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</si>
  <si>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</si>
  <si>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</si>
  <si>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</si>
  <si>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</si>
  <si>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</si>
  <si>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</si>
  <si>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</si>
  <si>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</si>
  <si>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</si>
  <si>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</si>
  <si>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</si>
  <si>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</si>
  <si>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</si>
  <si>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</si>
  <si>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</si>
  <si>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</si>
  <si>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</si>
  <si>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</si>
  <si>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</si>
  <si>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</si>
  <si>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</si>
  <si>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</si>
  <si>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</si>
  <si>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</si>
  <si>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</si>
  <si>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</si>
  <si>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</si>
  <si>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</si>
  <si>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</si>
  <si>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</si>
  <si>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</si>
  <si>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</si>
  <si>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</si>
  <si>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</si>
  <si>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</si>
  <si>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</si>
  <si>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</si>
  <si>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</si>
  <si>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</si>
  <si>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</si>
  <si>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</si>
  <si>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</si>
  <si>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</si>
  <si>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</si>
  <si>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</si>
  <si>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</si>
  <si>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</si>
  <si>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</si>
  <si>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</si>
  <si>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</si>
  <si>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</si>
  <si>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</si>
  <si>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</si>
  <si>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</si>
  <si>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</si>
  <si>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</si>
  <si>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</si>
  <si>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</si>
  <si>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</si>
  <si>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</si>
  <si>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</si>
  <si>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</si>
  <si>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</si>
  <si>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</si>
  <si>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</si>
  <si>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</si>
  <si>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</si>
  <si>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</si>
  <si>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</si>
  <si>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</si>
  <si>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</si>
  <si>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</si>
  <si>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</si>
  <si>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</si>
  <si>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</si>
  <si>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</si>
  <si>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</si>
  <si>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</si>
  <si>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</si>
  <si>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</si>
  <si>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</si>
  <si>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</si>
  <si>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</si>
  <si>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</si>
  <si>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</si>
  <si>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</si>
  <si>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</si>
  <si>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</si>
  <si>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</si>
  <si>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</si>
  <si>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</si>
  <si>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</si>
  <si>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</si>
  <si>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</si>
  <si>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</si>
  <si>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</si>
  <si>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</si>
  <si>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</si>
  <si>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</si>
  <si>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</si>
  <si>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</si>
  <si>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</si>
  <si>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</si>
  <si>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</si>
  <si>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</si>
  <si>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</si>
  <si>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</si>
  <si>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</si>
  <si>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</si>
  <si>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</si>
  <si>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</si>
  <si>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</si>
  <si>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</si>
  <si>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</si>
  <si>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</si>
  <si>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</si>
  <si>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</si>
  <si>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</si>
  <si>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</si>
  <si>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</si>
  <si>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</si>
  <si>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</si>
  <si>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</si>
  <si>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</si>
  <si>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</si>
  <si>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</si>
  <si>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</si>
  <si>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</si>
  <si>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</si>
  <si>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</si>
  <si>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</si>
  <si>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</si>
  <si>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</si>
  <si>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</si>
  <si>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</si>
  <si>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</si>
  <si>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</si>
  <si>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</si>
  <si>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</si>
  <si>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</si>
  <si>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</si>
  <si>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</si>
  <si>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</si>
  <si>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</si>
  <si>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</si>
  <si>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</si>
  <si>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</si>
  <si>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</si>
  <si>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</si>
  <si>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</si>
  <si>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</si>
  <si>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</si>
  <si>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</si>
  <si>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</si>
  <si>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</si>
  <si>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</si>
  <si>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</si>
  <si>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</si>
  <si>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</si>
  <si>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</si>
  <si>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</si>
  <si>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</si>
  <si>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</si>
  <si>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</si>
  <si>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</si>
  <si>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</si>
  <si>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</si>
  <si>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</si>
  <si>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</si>
  <si>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</si>
  <si>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</si>
  <si>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</si>
  <si>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</si>
  <si>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</si>
  <si>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</si>
  <si>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</si>
  <si>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</si>
  <si>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</si>
  <si>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</si>
  <si>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</si>
  <si>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</si>
  <si>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</si>
  <si>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</si>
  <si>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</si>
  <si>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</si>
  <si>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</si>
  <si>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</si>
  <si>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</si>
  <si>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</si>
  <si>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</si>
  <si>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</si>
  <si>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</si>
  <si>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</si>
  <si>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</si>
  <si>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</si>
  <si>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</si>
  <si>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</si>
  <si>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</si>
  <si>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</si>
  <si>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</si>
  <si>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</si>
  <si>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</si>
  <si>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</si>
  <si>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</si>
  <si>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</si>
  <si>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</si>
  <si>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</si>
  <si>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</si>
  <si>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</si>
  <si>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</si>
  <si>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</si>
  <si>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</si>
  <si>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</si>
  <si>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</si>
  <si>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</si>
  <si>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</si>
  <si>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</si>
  <si>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</si>
  <si>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</si>
  <si>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</si>
  <si>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</si>
  <si>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</si>
  <si>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</si>
  <si>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</si>
  <si>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</si>
  <si>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</si>
  <si>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</si>
  <si>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</si>
  <si>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</si>
  <si>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</si>
  <si>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</si>
  <si>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</si>
  <si>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</si>
  <si>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</si>
  <si>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</si>
  <si>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</si>
  <si>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</si>
  <si>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</si>
  <si>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</si>
  <si>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</si>
  <si>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</si>
  <si>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</si>
  <si>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</si>
  <si>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</si>
  <si>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</si>
  <si>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</si>
  <si>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</si>
  <si>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</si>
  <si>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</si>
  <si>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</si>
  <si>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</si>
  <si>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</si>
  <si>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</si>
  <si>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</si>
  <si>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</si>
  <si>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</si>
  <si>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</si>
  <si>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</si>
  <si>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</si>
  <si>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</si>
  <si>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</si>
  <si>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</si>
  <si>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</si>
  <si>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</si>
  <si>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</si>
  <si>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</si>
  <si>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</si>
  <si>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</si>
  <si>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</si>
  <si>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</si>
  <si>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</si>
  <si>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</si>
  <si>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</si>
  <si>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</si>
  <si>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</si>
  <si>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</si>
  <si>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</si>
  <si>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</si>
  <si>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</si>
  <si>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</si>
  <si>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</si>
  <si>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</si>
  <si>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</si>
  <si>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</si>
  <si>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</si>
  <si>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</si>
  <si>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</si>
  <si>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</si>
  <si>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</si>
  <si>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</si>
  <si>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</si>
  <si>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</si>
  <si>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</si>
  <si>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</si>
  <si>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</si>
  <si>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</si>
  <si>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</si>
  <si>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</si>
  <si>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</si>
  <si>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</si>
  <si>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</si>
  <si>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</si>
  <si>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</si>
  <si>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</si>
  <si>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</si>
  <si>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</si>
  <si>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</si>
  <si>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</si>
  <si>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</si>
  <si>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</si>
  <si>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</si>
  <si>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</si>
  <si>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</si>
  <si>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</si>
  <si>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</si>
  <si>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</si>
  <si>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</si>
  <si>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</si>
  <si>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</si>
  <si>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</si>
  <si>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</si>
  <si>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</si>
  <si>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</si>
  <si>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</si>
  <si>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</si>
  <si>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</si>
  <si>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</si>
  <si>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</si>
  <si>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</si>
  <si>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</si>
  <si>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</si>
  <si>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</si>
  <si>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</si>
  <si>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</si>
  <si>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</si>
  <si>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</si>
  <si>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</si>
  <si>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</si>
  <si>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</si>
  <si>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</si>
  <si>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</si>
  <si>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</si>
  <si>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</si>
  <si>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</si>
  <si>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</si>
  <si>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</si>
  <si>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</si>
  <si>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</si>
  <si>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</si>
  <si>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</si>
  <si>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</si>
  <si>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</si>
  <si>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</si>
  <si>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</si>
  <si>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</si>
  <si>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</si>
  <si>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</si>
  <si>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</si>
  <si>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</si>
  <si>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</si>
  <si>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</si>
  <si>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</si>
  <si>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</si>
  <si>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</si>
  <si>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</si>
  <si>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</si>
  <si>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</si>
  <si>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</si>
  <si>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</si>
  <si>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</si>
  <si>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</si>
  <si>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</si>
  <si>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</si>
  <si>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</si>
  <si>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</si>
  <si>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</si>
  <si>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</si>
  <si>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</si>
  <si>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</si>
  <si>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</si>
  <si>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</si>
  <si>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</si>
  <si>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</si>
  <si>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</si>
  <si>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</si>
  <si>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</si>
  <si>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</si>
  <si>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</si>
  <si>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</si>
  <si>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</si>
  <si>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</si>
  <si>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</si>
  <si>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</si>
  <si>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</si>
  <si>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</si>
  <si>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</si>
  <si>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</si>
  <si>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</si>
  <si>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</si>
  <si>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</si>
  <si>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</si>
  <si>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</si>
  <si>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</si>
  <si>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</si>
  <si>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</si>
  <si>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</si>
  <si>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</si>
  <si>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</si>
  <si>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</si>
  <si>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</si>
  <si>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</si>
  <si>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</si>
  <si>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</si>
  <si>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</si>
  <si>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</si>
  <si>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</si>
  <si>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</si>
  <si>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</si>
  <si>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</si>
  <si>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</si>
  <si>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</si>
  <si>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</si>
  <si>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</si>
  <si>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</si>
  <si>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</si>
  <si>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</si>
  <si>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</si>
  <si>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</si>
  <si>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</si>
  <si>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</si>
  <si>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</si>
  <si>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</si>
  <si>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</si>
  <si>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</si>
  <si>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</si>
  <si>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</si>
  <si>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</si>
  <si>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</si>
  <si>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</si>
  <si>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</si>
  <si>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</si>
  <si>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</si>
  <si>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</si>
  <si>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</si>
  <si>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</si>
  <si>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</si>
  <si>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</si>
  <si>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</si>
  <si>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</si>
  <si>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</si>
  <si>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</si>
  <si>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</si>
  <si>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</si>
  <si>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</si>
  <si>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</si>
  <si>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</si>
  <si>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</si>
  <si>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</si>
  <si>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</si>
  <si>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</si>
  <si>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</si>
  <si>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</si>
  <si>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</si>
  <si>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</si>
  <si>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</si>
  <si>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</si>
  <si>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</si>
  <si>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</si>
  <si>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</si>
  <si>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</si>
  <si>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</si>
  <si>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</si>
  <si>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</si>
  <si>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</si>
  <si>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</si>
  <si>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</si>
  <si>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</si>
  <si>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</si>
  <si>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</si>
  <si>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</si>
  <si>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</si>
  <si>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</si>
  <si>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</si>
  <si>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</si>
  <si>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</si>
  <si>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</si>
  <si>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</si>
  <si>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</si>
  <si>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</si>
  <si>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</si>
  <si>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</si>
  <si>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</si>
  <si>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</si>
  <si>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</si>
  <si>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</si>
  <si>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</si>
  <si>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</si>
  <si>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</si>
  <si>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</si>
  <si>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</si>
  <si>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</si>
  <si>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</si>
  <si>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</si>
  <si>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</si>
  <si>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</si>
  <si>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</si>
  <si>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</si>
  <si>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</si>
  <si>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</si>
  <si>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</si>
  <si>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</si>
  <si>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</si>
  <si>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</si>
  <si>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</si>
  <si>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</si>
  <si>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</si>
  <si>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</si>
  <si>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</si>
  <si>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</si>
  <si>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</si>
  <si>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</si>
  <si>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</si>
  <si>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</si>
  <si>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</si>
  <si>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</si>
  <si>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</si>
  <si>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</si>
  <si>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</si>
  <si>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</si>
  <si>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</si>
  <si>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</si>
  <si>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</si>
  <si>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</si>
  <si>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</si>
  <si>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</si>
  <si>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</si>
  <si>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</si>
  <si>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</si>
  <si>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</si>
  <si>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</si>
  <si>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</si>
  <si>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</si>
  <si>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</si>
  <si>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</si>
  <si>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</si>
  <si>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</si>
  <si>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</si>
  <si>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</si>
  <si>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</si>
  <si>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</si>
  <si>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</si>
  <si>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</si>
  <si>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</si>
  <si>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</si>
  <si>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</si>
  <si>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</si>
  <si>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</si>
  <si>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</si>
  <si>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</si>
  <si>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</si>
  <si>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</si>
  <si>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</si>
  <si>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</si>
  <si>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</si>
  <si>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</si>
  <si>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</si>
  <si>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</si>
  <si>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</si>
  <si>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</si>
  <si>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</si>
  <si>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</si>
  <si>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</si>
  <si>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</si>
  <si>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</si>
  <si>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</si>
  <si>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</si>
  <si>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</si>
  <si>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</si>
  <si>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</si>
  <si>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</si>
  <si>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</si>
  <si>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</si>
  <si>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</si>
  <si>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</si>
  <si>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</si>
  <si>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</si>
  <si>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</si>
  <si>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</si>
  <si>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</si>
  <si>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</si>
  <si>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</si>
  <si>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</si>
  <si>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</si>
  <si>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</si>
  <si>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</si>
  <si>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</si>
  <si>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</si>
  <si>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</si>
  <si>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</si>
  <si>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</si>
  <si>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</si>
  <si>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</si>
  <si>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</si>
  <si>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</si>
  <si>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</si>
  <si>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</si>
  <si>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</si>
  <si>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</si>
  <si>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</si>
  <si>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</si>
  <si>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</si>
  <si>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</si>
  <si>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</si>
  <si>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</si>
  <si>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</si>
  <si>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</si>
  <si>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</si>
  <si>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</si>
  <si>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</si>
  <si>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</si>
  <si>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</si>
  <si>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</si>
  <si>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</si>
  <si>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</si>
  <si>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</si>
  <si>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</si>
  <si>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</si>
  <si>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</si>
  <si>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</si>
  <si>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</si>
  <si>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</si>
  <si>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</si>
  <si>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</si>
  <si>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</si>
  <si>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</si>
  <si>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</si>
  <si>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</si>
  <si>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</si>
  <si>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</si>
  <si>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</si>
  <si>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</si>
  <si>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</si>
  <si>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</si>
  <si>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</si>
  <si>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</si>
  <si>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</si>
  <si>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</si>
  <si>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</si>
  <si>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</si>
  <si>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</si>
  <si>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</si>
  <si>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</si>
  <si>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</si>
  <si>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</si>
  <si>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</si>
  <si>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</si>
  <si>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</si>
  <si>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</si>
  <si>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</si>
  <si>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</si>
  <si>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</si>
  <si>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</si>
  <si>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</si>
  <si>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</si>
  <si>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</si>
  <si>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</si>
  <si>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</si>
  <si>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</si>
  <si>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</si>
  <si>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</si>
  <si>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</si>
  <si>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</si>
  <si>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</si>
  <si>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</si>
  <si>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</si>
  <si>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</si>
  <si>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</si>
  <si>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</si>
  <si>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</si>
  <si>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</si>
  <si>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</si>
  <si>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</si>
  <si>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</si>
  <si>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</si>
  <si>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</si>
  <si>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</si>
  <si>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</si>
  <si>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</si>
  <si>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</si>
  <si>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</si>
  <si>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</si>
  <si>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</si>
  <si>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</si>
  <si>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</si>
  <si>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</si>
  <si>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</si>
  <si>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</si>
  <si>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</si>
  <si>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</si>
  <si>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</si>
  <si>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</si>
  <si>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</si>
  <si>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</si>
  <si>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</si>
  <si>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</si>
  <si>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</si>
  <si>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</si>
  <si>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</si>
  <si>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</si>
  <si>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</si>
  <si>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</si>
  <si>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</si>
  <si>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</si>
  <si>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</si>
  <si>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</si>
  <si>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</si>
  <si>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</si>
  <si>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</si>
  <si>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</si>
  <si>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</si>
  <si>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</si>
  <si>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</si>
  <si>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</si>
  <si>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</si>
  <si>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</si>
  <si>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</si>
  <si>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</si>
  <si>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</si>
  <si>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</si>
  <si>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</si>
  <si>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</si>
  <si>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</si>
  <si>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</si>
  <si>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</si>
  <si>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</si>
  <si>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</si>
  <si>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</si>
  <si>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</si>
  <si>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</si>
  <si>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</si>
  <si>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</si>
  <si>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</si>
  <si>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</si>
  <si>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</si>
  <si>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</si>
  <si>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</si>
  <si>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</si>
  <si>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</si>
  <si>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</si>
  <si>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</si>
  <si>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</si>
  <si>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</si>
  <si>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</si>
  <si>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</si>
  <si>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</si>
  <si>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</si>
  <si>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</si>
  <si>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</si>
  <si>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</si>
  <si>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</si>
  <si>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</si>
  <si>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</si>
  <si>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</si>
  <si>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</si>
  <si>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</si>
  <si>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</si>
  <si>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</si>
  <si>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</si>
  <si>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</si>
  <si>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</si>
  <si>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</si>
  <si>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</si>
  <si>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</si>
  <si>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</si>
  <si>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</si>
  <si>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</si>
  <si>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</si>
  <si>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</si>
  <si>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</si>
  <si>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</si>
  <si>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</si>
  <si>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</si>
  <si>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</si>
  <si>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</si>
  <si>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</si>
  <si>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</si>
  <si>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</si>
  <si>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</si>
  <si>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</si>
  <si>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</si>
  <si>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</si>
  <si>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</si>
  <si>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</si>
  <si>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</si>
  <si>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</si>
  <si>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</si>
  <si>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</si>
  <si>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</si>
  <si>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</si>
  <si>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</si>
  <si>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</si>
  <si>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</si>
  <si>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</si>
  <si>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</si>
  <si>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</si>
  <si>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</si>
  <si>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</si>
  <si>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</si>
  <si>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</si>
  <si>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</si>
  <si>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</si>
  <si>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</si>
  <si>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</si>
  <si>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</si>
  <si>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</si>
  <si>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</si>
  <si>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</si>
  <si>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</si>
  <si>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</si>
  <si>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</si>
  <si>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</si>
  <si>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</si>
  <si>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</si>
  <si>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</si>
  <si>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</si>
  <si>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</si>
  <si>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</si>
  <si>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</si>
  <si>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</si>
  <si>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</si>
  <si>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</si>
  <si>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</si>
  <si>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</si>
  <si>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</si>
  <si>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</si>
  <si>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</si>
  <si>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</si>
  <si>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</si>
  <si>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</si>
  <si>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</si>
  <si>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</si>
  <si>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</si>
  <si>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</si>
  <si>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</si>
  <si>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</si>
  <si>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</si>
  <si>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</si>
  <si>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</si>
  <si>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</si>
  <si>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</si>
  <si>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</si>
  <si>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</si>
  <si>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</si>
  <si>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</si>
  <si>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</si>
  <si>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</si>
  <si>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</si>
  <si>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</si>
  <si>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</si>
  <si>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</si>
  <si>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</si>
  <si>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</si>
  <si>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</si>
  <si>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</si>
  <si>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</si>
  <si>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</si>
  <si>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</si>
  <si>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</si>
  <si>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</si>
  <si>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</si>
  <si>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</si>
  <si>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</si>
  <si>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</si>
  <si>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</si>
  <si>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</si>
  <si>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</si>
  <si>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</si>
  <si>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</si>
  <si>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</si>
  <si>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</si>
  <si>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</si>
  <si>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</si>
  <si>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</si>
  <si>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</si>
  <si>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</si>
  <si>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</si>
  <si>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</si>
  <si>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</si>
  <si>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</si>
  <si>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</si>
  <si>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</si>
  <si>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</si>
  <si>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</si>
  <si>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</si>
  <si>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</si>
  <si>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</si>
  <si>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</si>
  <si>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</si>
  <si>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</si>
  <si>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</si>
  <si>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</si>
  <si>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</si>
  <si>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</si>
  <si>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</si>
  <si>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</si>
  <si>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</si>
  <si>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</si>
  <si>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</si>
  <si>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</si>
  <si>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</si>
  <si>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</si>
  <si>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</si>
  <si>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</si>
  <si>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</si>
  <si>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</si>
  <si>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</si>
  <si>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</si>
  <si>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</si>
  <si>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</si>
  <si>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</si>
  <si>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</si>
  <si>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</si>
  <si>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</si>
  <si>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</si>
  <si>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</si>
  <si>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</si>
  <si>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</si>
  <si>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</si>
  <si>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</si>
  <si>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</si>
  <si>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</si>
  <si>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</si>
  <si>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</si>
  <si>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</si>
  <si>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</si>
  <si>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</si>
  <si>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</si>
  <si>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</si>
  <si>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</si>
  <si>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</si>
  <si>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</si>
  <si>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</si>
  <si>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</si>
  <si>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</si>
  <si>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</si>
  <si>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</si>
  <si>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</si>
  <si>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</si>
  <si>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</si>
  <si>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</si>
  <si>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</si>
  <si>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</si>
  <si>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</si>
  <si>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</si>
  <si>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</si>
  <si>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</si>
  <si>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</si>
  <si>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</si>
  <si>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</si>
  <si>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</si>
  <si>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</si>
  <si>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</si>
  <si>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</si>
  <si>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</si>
  <si>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</si>
  <si>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</si>
  <si>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</si>
  <si>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</si>
  <si>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</si>
  <si>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</si>
  <si>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</si>
  <si>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</si>
  <si>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</si>
  <si>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</si>
  <si>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</si>
  <si>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</si>
  <si>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</si>
  <si>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</si>
  <si>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</si>
  <si>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</si>
  <si>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</si>
  <si>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</si>
  <si>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</si>
  <si>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</si>
  <si>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</si>
  <si>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</si>
  <si>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</si>
  <si>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</si>
  <si>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</si>
  <si>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</si>
  <si>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</si>
  <si>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</si>
  <si>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</si>
  <si>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</si>
  <si>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</si>
  <si>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</si>
  <si>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</si>
  <si>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</si>
  <si>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</si>
  <si>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</si>
  <si>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</si>
  <si>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</si>
  <si>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</si>
  <si>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</si>
  <si>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</si>
  <si>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</si>
  <si>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</si>
  <si>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</si>
  <si>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</si>
  <si>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</si>
  <si>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</si>
  <si>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</si>
  <si>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</si>
  <si>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</si>
  <si>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</si>
  <si>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</si>
  <si>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</si>
  <si>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</si>
  <si>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</si>
  <si>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</si>
  <si>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</si>
  <si>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</si>
  <si>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</si>
  <si>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</si>
  <si>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</si>
  <si>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</si>
  <si>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</si>
  <si>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</si>
  <si>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</si>
  <si>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</si>
  <si>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</si>
  <si>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</si>
  <si>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</si>
  <si>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</si>
  <si>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</si>
  <si>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</si>
  <si>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</si>
  <si>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</si>
  <si>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</si>
  <si>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</si>
  <si>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</si>
  <si>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</si>
  <si>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</si>
  <si>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</si>
  <si>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</si>
  <si>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</si>
  <si>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</si>
  <si>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</si>
  <si>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</si>
  <si>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</si>
  <si>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</si>
  <si>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</si>
  <si>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</si>
  <si>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</si>
  <si>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</si>
  <si>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</si>
  <si>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</si>
  <si>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</si>
  <si>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</si>
  <si>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</si>
  <si>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</si>
  <si>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</si>
  <si>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</si>
  <si>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</si>
  <si>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</si>
  <si>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</si>
  <si>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</si>
  <si>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</si>
  <si>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</si>
  <si>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</si>
  <si>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</si>
  <si>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</si>
  <si>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</si>
  <si>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</si>
  <si>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</si>
  <si>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</si>
  <si>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</si>
  <si>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</si>
  <si>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</si>
  <si>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</si>
  <si>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</si>
  <si>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</si>
  <si>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</si>
  <si>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</si>
  <si>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</si>
  <si>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</si>
  <si>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</si>
  <si>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</si>
  <si>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</si>
  <si>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</si>
  <si>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</si>
  <si>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</si>
  <si>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</si>
  <si>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</si>
  <si>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</si>
  <si>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</si>
  <si>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</si>
  <si>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</si>
  <si>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</si>
  <si>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</si>
  <si>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</si>
  <si>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</si>
  <si>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</si>
  <si>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</si>
  <si>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</si>
  <si>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</si>
  <si>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</si>
  <si>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</si>
  <si>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</si>
  <si>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</si>
  <si>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</si>
  <si>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</si>
  <si>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</si>
  <si>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</si>
  <si>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</si>
  <si>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</si>
  <si>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</si>
  <si>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</si>
  <si>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</si>
  <si>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</si>
  <si>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</si>
  <si>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</si>
  <si>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</si>
  <si>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</si>
  <si>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</si>
  <si>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</si>
  <si>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</si>
  <si>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</si>
  <si>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</si>
  <si>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</si>
  <si>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</si>
  <si>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</si>
  <si>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</si>
  <si>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</si>
  <si>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</si>
  <si>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</si>
  <si>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</si>
  <si>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</si>
  <si>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</si>
  <si>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</si>
  <si>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</si>
  <si>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</si>
  <si>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</si>
  <si>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</si>
  <si>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</si>
  <si>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</si>
  <si>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</si>
  <si>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</si>
  <si>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</si>
  <si>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</si>
  <si>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</si>
  <si>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</si>
  <si>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</si>
  <si>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</si>
  <si>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</si>
  <si>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</si>
  <si>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</si>
  <si>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</si>
  <si>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</si>
  <si>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</si>
  <si>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</si>
  <si>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</si>
  <si>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</si>
  <si>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</si>
  <si>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</si>
  <si>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</si>
  <si>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</si>
  <si>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</si>
  <si>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</si>
  <si>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</si>
  <si>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</si>
  <si>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</si>
  <si>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</si>
  <si>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</si>
  <si>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</si>
  <si>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</si>
  <si>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</si>
  <si>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</si>
  <si>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</si>
  <si>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</si>
  <si>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</si>
  <si>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</si>
  <si>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</si>
  <si>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</si>
  <si>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</si>
  <si>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</si>
  <si>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</si>
  <si>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</si>
  <si>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</si>
  <si>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</si>
  <si>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</si>
  <si>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</si>
  <si>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</si>
  <si>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</si>
  <si>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</si>
  <si>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</si>
  <si>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</si>
  <si>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</si>
  <si>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</si>
  <si>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</si>
  <si>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</si>
  <si>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</si>
  <si>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</si>
  <si>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</si>
  <si>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</si>
  <si>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</si>
  <si>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</si>
  <si>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</si>
  <si>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</si>
  <si>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</si>
  <si>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</si>
  <si>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</si>
  <si>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</si>
  <si>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</si>
  <si>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</si>
  <si>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</si>
  <si>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</si>
  <si>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</si>
  <si>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</si>
  <si>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</si>
  <si>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</si>
  <si>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</si>
  <si>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</si>
  <si>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</si>
  <si>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</si>
  <si>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</si>
  <si>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</si>
  <si>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</si>
  <si>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</si>
  <si>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</si>
  <si>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</si>
  <si>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</si>
  <si>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</si>
  <si>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</si>
  <si>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</si>
  <si>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</si>
  <si>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</si>
  <si>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</si>
  <si>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</si>
  <si>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</si>
  <si>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</si>
  <si>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</si>
  <si>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</si>
  <si>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</si>
  <si>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</si>
  <si>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</si>
  <si>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</si>
  <si>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</si>
  <si>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</si>
  <si>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</si>
  <si>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</si>
  <si>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</si>
  <si>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</si>
  <si>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</si>
  <si>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</si>
  <si>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</si>
  <si>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</si>
  <si>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</si>
  <si>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</si>
  <si>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</si>
  <si>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</si>
  <si>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</si>
  <si>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</si>
  <si>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</si>
  <si>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</si>
  <si>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</si>
  <si>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</si>
  <si>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</si>
  <si>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</si>
  <si>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</si>
  <si>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</si>
  <si>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</si>
  <si>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</si>
  <si>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</si>
  <si>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</si>
  <si>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</si>
  <si>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</si>
  <si>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</si>
  <si>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</si>
  <si>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</si>
  <si>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</si>
  <si>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</si>
  <si>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</si>
  <si>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</si>
  <si>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</si>
  <si>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</si>
  <si>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</si>
  <si>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</si>
  <si>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</si>
  <si>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</si>
  <si>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</si>
  <si>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</si>
  <si>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</si>
  <si>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</si>
  <si>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</si>
  <si>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</si>
  <si>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</si>
  <si>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</si>
  <si>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</si>
  <si>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</si>
  <si>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</si>
  <si>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</si>
  <si>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</si>
  <si>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</si>
  <si>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</si>
  <si>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</si>
  <si>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</si>
  <si>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</si>
  <si>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</si>
  <si>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</si>
  <si>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</si>
  <si>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</si>
  <si>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</si>
  <si>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</si>
  <si>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</si>
  <si>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</si>
  <si>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</si>
  <si>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</si>
  <si>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</si>
  <si>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</si>
  <si>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</si>
  <si>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</si>
  <si>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</si>
  <si>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</si>
  <si>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</si>
  <si>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</si>
  <si>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</si>
  <si>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</si>
  <si>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</si>
  <si>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</si>
  <si>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</si>
  <si>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</si>
  <si>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</si>
  <si>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</si>
  <si>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</si>
  <si>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</si>
  <si>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</si>
  <si>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</si>
  <si>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</si>
  <si>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</si>
  <si>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</si>
  <si>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</si>
  <si>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</si>
  <si>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</si>
  <si>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</si>
  <si>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</si>
  <si>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</si>
  <si>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</si>
  <si>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</si>
  <si>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</si>
  <si>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</si>
  <si>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</si>
  <si>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</si>
  <si>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</si>
  <si>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</si>
  <si>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</si>
  <si>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</si>
  <si>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</si>
  <si>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</si>
  <si>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</si>
  <si>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</si>
  <si>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</si>
  <si>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</si>
  <si>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</si>
  <si>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</si>
  <si>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</si>
  <si>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</si>
  <si>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</si>
  <si>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</si>
  <si>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</si>
  <si>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</si>
  <si>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</si>
  <si>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</si>
  <si>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</si>
  <si>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</si>
  <si>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</si>
  <si>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</si>
  <si>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</si>
  <si>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</si>
  <si>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</si>
  <si>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</si>
  <si>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</si>
  <si>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</si>
  <si>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</si>
  <si>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</si>
  <si>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</si>
  <si>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</si>
  <si>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</si>
  <si>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</si>
  <si>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</si>
  <si>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</si>
  <si>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</si>
  <si>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</si>
  <si>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</si>
  <si>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</si>
  <si>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</si>
  <si>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</si>
  <si>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</si>
  <si>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</si>
  <si>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</si>
  <si>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</si>
  <si>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</si>
  <si>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</si>
  <si>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</si>
  <si>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</si>
  <si>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</si>
  <si>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</si>
  <si>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</si>
  <si>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</si>
  <si>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</si>
  <si>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</si>
  <si>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</si>
  <si>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</si>
  <si>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</si>
  <si>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</si>
  <si>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</si>
  <si>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</si>
  <si>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</si>
  <si>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</si>
  <si>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</si>
  <si>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</si>
  <si>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</si>
  <si>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</si>
  <si>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</si>
  <si>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</si>
  <si>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</si>
  <si>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</si>
  <si>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</si>
  <si>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</si>
  <si>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</si>
  <si>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</si>
  <si>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</si>
  <si>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</si>
  <si>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</si>
  <si>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</si>
  <si>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</si>
  <si>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</si>
  <si>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</si>
  <si>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</si>
  <si>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</si>
  <si>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</si>
  <si>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</si>
  <si>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</si>
  <si>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</si>
  <si>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</si>
  <si>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</si>
  <si>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</si>
  <si>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</si>
  <si>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</si>
  <si>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</si>
  <si>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</si>
  <si>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</si>
  <si>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</si>
  <si>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</si>
  <si>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</si>
  <si>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</si>
  <si>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</si>
  <si>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</si>
  <si>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</si>
  <si>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</si>
  <si>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</si>
  <si>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</si>
  <si>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</si>
  <si>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</si>
  <si>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</si>
  <si>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</si>
  <si>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</si>
  <si>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</si>
  <si>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</si>
  <si>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</si>
  <si>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</si>
  <si>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</si>
  <si>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</si>
  <si>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</si>
  <si>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</si>
  <si>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</si>
  <si>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</si>
  <si>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</si>
  <si>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</si>
  <si>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</si>
  <si>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</si>
  <si>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</si>
  <si>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</si>
  <si>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</si>
  <si>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</si>
  <si>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</si>
  <si>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</si>
  <si>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</si>
  <si>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</si>
  <si>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</si>
  <si>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</si>
  <si>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</si>
  <si>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</si>
  <si>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</si>
  <si>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</si>
  <si>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</si>
  <si>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</si>
  <si>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</si>
  <si>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</si>
  <si>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</si>
  <si>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</si>
  <si>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</si>
  <si>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</si>
  <si>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</si>
  <si>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</si>
  <si>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</si>
  <si>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</si>
  <si>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</si>
  <si>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</si>
  <si>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</si>
  <si>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</si>
  <si>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</si>
  <si>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</si>
  <si>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</si>
  <si>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</si>
  <si>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</si>
  <si>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</si>
  <si>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</si>
  <si>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</si>
  <si>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</si>
  <si>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</si>
  <si>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</si>
  <si>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</si>
  <si>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</si>
  <si>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</si>
  <si>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</si>
  <si>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</si>
  <si>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</si>
  <si>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</si>
  <si>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</si>
  <si>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</si>
  <si>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</si>
  <si>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</si>
  <si>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</si>
  <si>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</si>
  <si>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</si>
  <si>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</si>
  <si>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</si>
  <si>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</si>
  <si>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</si>
  <si>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</si>
  <si>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</si>
  <si>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</si>
  <si>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</si>
  <si>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</si>
  <si>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</si>
  <si>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</si>
  <si>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</si>
  <si>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</si>
  <si>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</si>
  <si>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</si>
  <si>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</si>
  <si>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</si>
  <si>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</si>
  <si>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</si>
  <si>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</si>
  <si>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</si>
  <si>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</si>
  <si>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</si>
  <si>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</si>
  <si>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</si>
  <si>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</si>
  <si>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</si>
  <si>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</si>
  <si>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</si>
  <si>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</si>
  <si>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</si>
  <si>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</si>
  <si>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</si>
  <si>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</si>
  <si>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</si>
  <si>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</si>
  <si>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</si>
  <si>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</si>
  <si>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</si>
  <si>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</si>
  <si>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</si>
  <si>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</si>
  <si>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</si>
  <si>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</si>
  <si>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</si>
  <si>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</si>
  <si>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</si>
  <si>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</si>
  <si>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</si>
  <si>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</si>
  <si>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</si>
  <si>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</si>
  <si>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</si>
  <si>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</si>
  <si>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</si>
  <si>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</si>
  <si>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</si>
  <si>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</si>
  <si>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</si>
  <si>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</si>
  <si>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</si>
  <si>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</si>
  <si>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</si>
  <si>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</si>
  <si>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</si>
  <si>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</si>
  <si>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</si>
  <si>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</si>
  <si>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</si>
  <si>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</si>
  <si>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</si>
  <si>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</si>
  <si>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</si>
  <si>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</si>
  <si>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</si>
  <si>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</si>
  <si>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</si>
  <si>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</si>
  <si>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</si>
  <si>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</si>
  <si>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</si>
  <si>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</si>
  <si>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</si>
  <si>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</si>
  <si>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</si>
  <si>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</si>
  <si>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</si>
  <si>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</si>
  <si>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</si>
  <si>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</si>
  <si>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</si>
  <si>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</si>
  <si>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</si>
  <si>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</si>
  <si>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</si>
  <si>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</si>
  <si>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</si>
  <si>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</si>
  <si>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</si>
  <si>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</si>
  <si>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</si>
  <si>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</si>
  <si>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</si>
  <si>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</si>
  <si>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</si>
  <si>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</si>
  <si>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</si>
  <si>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</si>
  <si>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</si>
  <si>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</si>
  <si>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</si>
  <si>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</si>
  <si>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</si>
  <si>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</si>
  <si>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</si>
  <si>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</si>
  <si>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</si>
  <si>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</si>
  <si>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</si>
  <si>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</si>
  <si>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</si>
  <si>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</si>
  <si>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</si>
  <si>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</si>
  <si>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</si>
  <si>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</si>
  <si>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</si>
  <si>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</si>
  <si>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</si>
  <si>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</si>
  <si>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</si>
  <si>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</si>
  <si>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</si>
  <si>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</si>
  <si>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</si>
  <si>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</si>
  <si>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</si>
  <si>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</si>
  <si>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</si>
  <si>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</si>
  <si>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</si>
  <si>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</si>
  <si>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</si>
  <si>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</si>
  <si>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</si>
  <si>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</si>
  <si>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</si>
  <si>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</si>
  <si>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</si>
  <si>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</si>
  <si>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</si>
  <si>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</si>
  <si>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</si>
  <si>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</si>
  <si>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</si>
  <si>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</si>
  <si>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</si>
  <si>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</si>
  <si>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</si>
  <si>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</si>
  <si>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</si>
  <si>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</si>
  <si>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</si>
  <si>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</si>
  <si>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</si>
  <si>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</si>
  <si>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</si>
  <si>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</si>
  <si>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</si>
  <si>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</si>
  <si>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</si>
  <si>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</si>
  <si>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</si>
  <si>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</si>
  <si>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</si>
  <si>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</si>
  <si>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</si>
  <si>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</si>
  <si>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</si>
  <si>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</si>
  <si>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</si>
  <si>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</si>
  <si>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</si>
  <si>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</si>
  <si>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</si>
  <si>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</si>
  <si>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</si>
  <si>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</si>
  <si>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</si>
  <si>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</si>
  <si>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</si>
  <si>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</si>
  <si>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</si>
  <si>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</si>
  <si>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</si>
  <si>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</si>
  <si>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</si>
  <si>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</si>
  <si>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</si>
  <si>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</si>
  <si>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</si>
  <si>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</si>
  <si>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</si>
  <si>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</si>
  <si>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</si>
  <si>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</si>
  <si>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</si>
  <si>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</si>
  <si>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</si>
  <si>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</si>
  <si>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</si>
  <si>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</si>
  <si>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</si>
  <si>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</si>
  <si>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</si>
  <si>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</si>
  <si>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</si>
  <si>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</si>
  <si>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</si>
  <si>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</si>
  <si>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</si>
  <si>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</si>
  <si>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</si>
  <si>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</si>
  <si>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</si>
  <si>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</si>
  <si>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</si>
  <si>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</si>
  <si>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</si>
  <si>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</si>
  <si>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</si>
  <si>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</si>
  <si>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</si>
  <si>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</si>
  <si>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</si>
  <si>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</si>
  <si>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</si>
  <si>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</si>
  <si>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</si>
  <si>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</si>
  <si>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</si>
  <si>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</si>
  <si>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</si>
  <si>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</si>
  <si>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</si>
  <si>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</si>
  <si>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</si>
  <si>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</si>
  <si>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</si>
  <si>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</si>
  <si>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</si>
  <si>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</si>
  <si>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</si>
  <si>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</si>
  <si>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</si>
  <si>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</si>
  <si>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</si>
  <si>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</si>
  <si>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</si>
  <si>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</si>
  <si>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</si>
  <si>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</si>
  <si>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</si>
  <si>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</si>
  <si>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</si>
  <si>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</si>
  <si>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</si>
  <si>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</si>
  <si>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</si>
  <si>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</si>
  <si>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</si>
  <si>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</si>
  <si>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</si>
  <si>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</si>
  <si>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</si>
  <si>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</si>
  <si>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</si>
  <si>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</si>
  <si>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</si>
  <si>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</si>
  <si>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</si>
  <si>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</si>
  <si>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</si>
  <si>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</si>
  <si>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</si>
  <si>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</si>
  <si>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</si>
  <si>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</si>
  <si>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</si>
  <si>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</si>
  <si>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</si>
  <si>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</si>
  <si>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</si>
  <si>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</si>
  <si>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</si>
  <si>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</si>
  <si>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</si>
  <si>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</si>
  <si>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</si>
  <si>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</si>
  <si>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</si>
  <si>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</si>
  <si>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</si>
  <si>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</si>
  <si>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</si>
  <si>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</si>
  <si>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</si>
  <si>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</si>
  <si>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</si>
  <si>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</si>
  <si>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</si>
  <si>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</si>
  <si>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</si>
  <si>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</si>
  <si>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</si>
  <si>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</si>
  <si>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</si>
  <si>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</si>
  <si>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</si>
  <si>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</si>
  <si>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</si>
  <si>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</si>
  <si>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</si>
  <si>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</si>
  <si>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</si>
  <si>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</si>
  <si>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</si>
  <si>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</si>
  <si>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</si>
  <si>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</si>
  <si>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</si>
  <si>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</si>
  <si>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</si>
  <si>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</si>
  <si>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</si>
  <si>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</si>
  <si>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</si>
  <si>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</si>
  <si>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</si>
  <si>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</si>
  <si>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</si>
  <si>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</si>
  <si>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</si>
  <si>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</si>
  <si>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</si>
  <si>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</si>
  <si>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</si>
  <si>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</si>
  <si>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</si>
  <si>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</si>
  <si>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</si>
  <si>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</si>
  <si>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</si>
  <si>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</si>
  <si>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</si>
  <si>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</si>
  <si>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</si>
  <si>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</si>
  <si>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</si>
  <si>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</si>
  <si>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</si>
  <si>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</si>
  <si>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</si>
  <si>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</si>
  <si>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</si>
  <si>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</si>
  <si>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</si>
  <si>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</si>
  <si>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</si>
  <si>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</si>
  <si>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</si>
  <si>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</si>
  <si>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</si>
  <si>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</si>
  <si>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</si>
  <si>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</si>
  <si>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</si>
  <si>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</si>
  <si>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</si>
  <si>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</si>
  <si>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</si>
  <si>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</si>
  <si>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</si>
  <si>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</si>
  <si>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</si>
  <si>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</si>
  <si>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</si>
  <si>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</si>
  <si>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</si>
  <si>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</si>
  <si>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</si>
  <si>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</si>
  <si>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</si>
  <si>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</si>
  <si>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</si>
  <si>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</si>
  <si>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</si>
  <si>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</si>
  <si>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</si>
  <si>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</si>
  <si>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</si>
  <si>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</si>
  <si>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</si>
  <si>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</si>
  <si>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</si>
  <si>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</si>
  <si>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</si>
  <si>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</si>
  <si>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</si>
  <si>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</si>
  <si>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</si>
  <si>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</si>
  <si>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</si>
  <si>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</si>
  <si>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</si>
  <si>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</si>
  <si>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</si>
  <si>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</si>
  <si>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</si>
  <si>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</si>
  <si>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</si>
  <si>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</si>
  <si>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</si>
  <si>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</si>
  <si>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</si>
  <si>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</si>
  <si>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</si>
  <si>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</si>
  <si>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</si>
  <si>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</si>
  <si>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</si>
  <si>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</si>
  <si>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</si>
  <si>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</si>
  <si>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</si>
  <si>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</si>
  <si>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</si>
  <si>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</si>
  <si>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</si>
  <si>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</si>
  <si>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</si>
  <si>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</si>
  <si>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</si>
  <si>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</si>
  <si>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</si>
  <si>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</si>
  <si>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</si>
  <si>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</si>
  <si>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</si>
  <si>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</si>
  <si>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</si>
  <si>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</si>
  <si>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</si>
  <si>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</si>
  <si>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</si>
  <si>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</si>
  <si>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</si>
  <si>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</si>
  <si>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</si>
  <si>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</si>
  <si>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</si>
  <si>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</si>
  <si>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</si>
  <si>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</si>
  <si>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</si>
  <si>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</si>
  <si>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</si>
  <si>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</si>
  <si>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</si>
  <si>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</si>
  <si>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</si>
  <si>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</si>
  <si>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</si>
  <si>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</si>
  <si>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</si>
  <si>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</si>
  <si>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</si>
  <si>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</si>
  <si>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</si>
  <si>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</si>
  <si>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</si>
  <si>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</si>
  <si>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</si>
  <si>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</si>
  <si>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</si>
  <si>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</si>
  <si>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</si>
  <si>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</si>
  <si>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</si>
  <si>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</si>
  <si>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</si>
  <si>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</si>
  <si>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</si>
  <si>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</si>
  <si>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</si>
  <si>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</si>
  <si>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</si>
  <si>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</si>
  <si>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</si>
  <si>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</si>
  <si>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</si>
  <si>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</si>
  <si>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</si>
  <si>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</si>
  <si>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</si>
  <si>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</si>
  <si>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</si>
  <si>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</si>
  <si>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</si>
  <si>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</si>
  <si>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</si>
  <si>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</si>
  <si>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</si>
  <si>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</si>
  <si>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</si>
  <si>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</si>
  <si>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</si>
  <si>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</si>
  <si>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</si>
  <si>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</si>
  <si>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</si>
  <si>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</si>
  <si>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</si>
  <si>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</si>
  <si>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</si>
  <si>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</si>
  <si>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</si>
  <si>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</si>
  <si>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</si>
  <si>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</si>
  <si>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</si>
  <si>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</si>
  <si>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</si>
  <si>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</si>
  <si>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</si>
  <si>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</si>
  <si>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</si>
  <si>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</si>
  <si>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</si>
  <si>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</si>
  <si>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</si>
  <si>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</si>
  <si>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</si>
  <si>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</si>
  <si>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</si>
  <si>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</si>
  <si>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</si>
  <si>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</si>
  <si>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</si>
  <si>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</si>
  <si>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</si>
  <si>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</si>
  <si>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</si>
  <si>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</si>
  <si>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</si>
  <si>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</si>
  <si>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</si>
  <si>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</si>
  <si>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</si>
  <si>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</si>
  <si>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</si>
  <si>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</si>
  <si>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</si>
  <si>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</si>
  <si>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</si>
  <si>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</si>
  <si>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</si>
  <si>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</si>
  <si>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</si>
  <si>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</si>
  <si>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</si>
  <si>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</si>
  <si>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</si>
  <si>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</si>
  <si>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</si>
  <si>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</si>
  <si>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</si>
  <si>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</si>
  <si>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</si>
  <si>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</si>
  <si>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</si>
  <si>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</si>
  <si>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</si>
  <si>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</si>
  <si>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</si>
  <si>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</si>
  <si>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</si>
  <si>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</si>
  <si>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</si>
  <si>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</si>
  <si>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</si>
  <si>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</si>
  <si>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</si>
  <si>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</si>
  <si>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</si>
  <si>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</si>
  <si>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</si>
  <si>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</si>
  <si>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</si>
  <si>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</si>
  <si>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</si>
  <si>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</si>
  <si>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</si>
  <si>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</si>
  <si>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</si>
  <si>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</si>
  <si>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</si>
  <si>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</si>
  <si>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</si>
  <si>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</si>
  <si>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</si>
  <si>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</si>
  <si>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</si>
  <si>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</si>
  <si>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</si>
  <si>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</si>
  <si>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</si>
  <si>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</si>
  <si>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</si>
  <si>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</si>
  <si>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</si>
  <si>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</si>
  <si>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</si>
  <si>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</si>
  <si>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</si>
  <si>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</si>
  <si>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</si>
  <si>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</si>
  <si>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</si>
  <si>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</si>
  <si>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</si>
  <si>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</si>
  <si>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</si>
  <si>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</si>
  <si>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</si>
  <si>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</si>
  <si>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</si>
  <si>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</si>
  <si>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</si>
  <si>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</si>
  <si>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</si>
  <si>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</si>
  <si>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</si>
  <si>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</si>
  <si>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</si>
  <si>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</si>
  <si>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</si>
  <si>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</si>
  <si>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</si>
  <si>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</si>
  <si>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</si>
  <si>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</si>
  <si>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</si>
  <si>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</si>
  <si>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</si>
  <si>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</si>
  <si>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</si>
  <si>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</si>
  <si>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</si>
  <si>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</si>
  <si>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</si>
  <si>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</si>
  <si>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</si>
  <si>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</si>
  <si>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</si>
  <si>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</si>
  <si>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</si>
  <si>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</si>
  <si>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</si>
  <si>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</si>
  <si>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</si>
  <si>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</si>
  <si>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</si>
  <si>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</si>
  <si>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</si>
  <si>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</si>
  <si>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</si>
  <si>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</si>
  <si>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</si>
  <si>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</si>
  <si>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</si>
  <si>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</si>
  <si>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</si>
  <si>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</si>
  <si>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</si>
  <si>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</si>
  <si>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</si>
  <si>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</si>
  <si>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</si>
  <si>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</si>
  <si>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</si>
  <si>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</si>
  <si>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</si>
  <si>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</si>
  <si>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</si>
  <si>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</si>
  <si>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</si>
  <si>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</si>
  <si>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</si>
  <si>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</si>
  <si>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</si>
  <si>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</si>
  <si>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</si>
  <si>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</si>
  <si>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</si>
  <si>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</si>
  <si>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</si>
  <si>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</si>
  <si>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</si>
  <si>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</si>
  <si>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</si>
  <si>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</si>
  <si>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</si>
  <si>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</si>
  <si>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</si>
  <si>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</si>
  <si>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</si>
  <si>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</si>
  <si>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</si>
  <si>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</si>
  <si>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</si>
  <si>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</si>
  <si>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</si>
  <si>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</si>
  <si>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</si>
  <si>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</si>
  <si>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</si>
  <si>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</si>
  <si>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</si>
  <si>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</si>
  <si>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</si>
  <si>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</si>
  <si>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</si>
  <si>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</si>
  <si>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</si>
  <si>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</si>
  <si>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</si>
  <si>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</si>
  <si>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</si>
  <si>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</si>
  <si>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</si>
  <si>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</si>
  <si>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</si>
  <si>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</si>
  <si>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</si>
  <si>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</si>
  <si>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</si>
  <si>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</si>
  <si>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</si>
  <si>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</si>
  <si>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</si>
  <si>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</si>
  <si>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</si>
  <si>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</si>
  <si>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</si>
  <si>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</si>
  <si>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</si>
  <si>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</si>
  <si>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</si>
  <si>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</si>
  <si>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</si>
  <si>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</si>
  <si>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</si>
  <si>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</si>
  <si>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</si>
  <si>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</si>
  <si>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</si>
  <si>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</si>
  <si>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</si>
  <si>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</si>
  <si>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</si>
  <si>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</si>
  <si>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</si>
  <si>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</si>
  <si>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</si>
  <si>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</si>
  <si>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</si>
  <si>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</si>
  <si>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</si>
  <si>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</si>
  <si>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</si>
  <si>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</si>
  <si>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</si>
  <si>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</si>
  <si>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</si>
  <si>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</si>
  <si>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</si>
  <si>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</si>
  <si>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</si>
  <si>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</si>
  <si>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</si>
  <si>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</si>
  <si>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</si>
  <si>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</si>
  <si>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</si>
  <si>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</si>
  <si>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</si>
  <si>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</si>
  <si>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</si>
  <si>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</si>
  <si>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</si>
  <si>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</si>
  <si>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</si>
  <si>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</si>
  <si>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</si>
  <si>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</si>
  <si>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</si>
  <si>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</si>
  <si>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</si>
  <si>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</si>
  <si>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</si>
  <si>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</si>
  <si>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</si>
  <si>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</si>
  <si>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</si>
  <si>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</si>
  <si>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</si>
  <si>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</si>
  <si>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</si>
  <si>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</si>
  <si>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</si>
  <si>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</si>
  <si>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</si>
  <si>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</si>
  <si>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</si>
  <si>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</si>
  <si>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</si>
  <si>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</si>
  <si>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</si>
  <si>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</si>
  <si>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</si>
  <si>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</si>
  <si>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</si>
  <si>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</si>
  <si>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</si>
  <si>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</si>
  <si>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</si>
  <si>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</si>
  <si>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</si>
  <si>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</si>
  <si>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</si>
  <si>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</si>
  <si>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</si>
  <si>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</si>
  <si>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</si>
  <si>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</si>
  <si>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</si>
  <si>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</si>
  <si>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</si>
  <si>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</si>
  <si>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</si>
  <si>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</si>
  <si>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</si>
  <si>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</si>
  <si>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</si>
  <si>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</si>
  <si>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</si>
  <si>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</si>
  <si>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</si>
  <si>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</si>
  <si>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</si>
  <si>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</si>
  <si>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</si>
  <si>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</si>
  <si>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</si>
  <si>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</si>
  <si>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</si>
  <si>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</si>
  <si>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</si>
  <si>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</si>
  <si>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</si>
  <si>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</si>
  <si>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</si>
  <si>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</si>
  <si>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</si>
  <si>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</si>
  <si>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</si>
  <si>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</si>
  <si>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</si>
  <si>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</si>
  <si>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</si>
  <si>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</si>
  <si>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</si>
  <si>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</si>
  <si>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</si>
  <si>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</si>
  <si>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</si>
  <si>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</si>
  <si>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</si>
  <si>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</si>
  <si>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</si>
  <si>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</si>
  <si>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</si>
  <si>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</si>
  <si>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</si>
  <si>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</si>
  <si>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</si>
  <si>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</si>
  <si>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</si>
  <si>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</si>
  <si>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</si>
  <si>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</si>
  <si>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</si>
  <si>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</si>
  <si>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</si>
  <si>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</si>
  <si>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</si>
  <si>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</si>
  <si>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</si>
  <si>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</si>
  <si>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</si>
  <si>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</si>
  <si>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</si>
  <si>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</si>
  <si>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</si>
  <si>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</si>
  <si>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</si>
  <si>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</si>
  <si>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</si>
  <si>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</si>
  <si>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</si>
  <si>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</si>
  <si>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</si>
  <si>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</si>
  <si>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</si>
  <si>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</si>
  <si>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</si>
  <si>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</si>
  <si>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</si>
  <si>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</si>
  <si>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</si>
  <si>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</si>
  <si>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</si>
  <si>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</si>
  <si>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</si>
  <si>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</si>
  <si>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</si>
  <si>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</si>
  <si>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</si>
  <si>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</si>
  <si>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</si>
  <si>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</si>
  <si>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</si>
  <si>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</si>
  <si>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</si>
  <si>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</si>
  <si>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</si>
  <si>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</si>
  <si>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</si>
  <si>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</si>
  <si>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</si>
  <si>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</si>
  <si>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</si>
  <si>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</si>
  <si>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</si>
  <si>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</si>
  <si>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</si>
  <si>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</si>
  <si>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</si>
  <si>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</si>
  <si>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</si>
  <si>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</si>
  <si>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</si>
  <si>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</si>
  <si>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</si>
  <si>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</si>
  <si>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</si>
  <si>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</si>
  <si>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</si>
  <si>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</si>
  <si>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</si>
  <si>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</si>
  <si>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</si>
  <si>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</si>
  <si>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</si>
  <si>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</si>
  <si>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</si>
  <si>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</si>
  <si>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</si>
  <si>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</si>
  <si>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</si>
  <si>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</si>
  <si>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</si>
  <si>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</si>
  <si>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</si>
  <si>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</si>
  <si>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</si>
  <si>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</si>
  <si>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</si>
  <si>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</si>
  <si>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</si>
  <si>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</si>
  <si>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</si>
  <si>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</si>
  <si>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</si>
  <si>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</si>
  <si>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</si>
  <si>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</si>
  <si>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</si>
  <si>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</si>
  <si>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</si>
  <si>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</si>
  <si>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</si>
  <si>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</si>
  <si>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</si>
  <si>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</si>
  <si>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</si>
  <si>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</si>
  <si>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</si>
  <si>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</si>
  <si>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</si>
  <si>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</si>
  <si>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</si>
  <si>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</si>
  <si>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</si>
  <si>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</si>
  <si>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</si>
  <si>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</si>
  <si>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</si>
  <si>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</si>
  <si>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</si>
  <si>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</si>
  <si>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</si>
  <si>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</si>
  <si>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</si>
  <si>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</si>
  <si>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</si>
  <si>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</si>
  <si>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</si>
  <si>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</si>
  <si>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</si>
  <si>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</si>
  <si>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</si>
  <si>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</si>
  <si>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</si>
  <si>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</si>
  <si>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</si>
  <si>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</si>
  <si>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</si>
  <si>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</si>
  <si>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</si>
  <si>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</si>
  <si>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</si>
  <si>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</si>
  <si>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</si>
  <si>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</si>
  <si>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</si>
  <si>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</si>
  <si>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</si>
  <si>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</si>
  <si>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</si>
  <si>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</si>
  <si>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</si>
  <si>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</si>
  <si>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</si>
  <si>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</si>
  <si>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</si>
  <si>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</si>
  <si>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</si>
  <si>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</si>
  <si>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</si>
  <si>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</si>
  <si>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</si>
  <si>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</si>
  <si>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</si>
  <si>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</si>
  <si>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</si>
  <si>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</si>
  <si>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</si>
  <si>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</si>
  <si>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</si>
  <si>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</si>
  <si>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</si>
  <si>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</si>
  <si>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</si>
  <si>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</si>
  <si>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</si>
  <si>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</si>
  <si>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</si>
  <si>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</si>
  <si>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</si>
  <si>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</si>
  <si>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</si>
  <si>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</si>
  <si>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</si>
  <si>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</si>
  <si>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</si>
  <si>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</si>
  <si>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</si>
  <si>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</si>
  <si>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</si>
  <si>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</si>
  <si>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</si>
  <si>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</si>
  <si>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</si>
  <si>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</si>
  <si>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</si>
  <si>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</si>
  <si>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</si>
  <si>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</si>
  <si>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</si>
  <si>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</si>
  <si>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</si>
  <si>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</si>
  <si>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</si>
  <si>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</si>
  <si>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</si>
  <si>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</si>
  <si>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</si>
  <si>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</si>
  <si>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</si>
  <si>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</si>
  <si>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</si>
  <si>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</si>
  <si>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</si>
  <si>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</si>
  <si>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</si>
  <si>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</si>
  <si>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</si>
  <si>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</si>
  <si>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</si>
  <si>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</si>
  <si>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</si>
  <si>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</si>
  <si>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</si>
  <si>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</si>
  <si>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</si>
  <si>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</si>
  <si>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</si>
  <si>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</si>
  <si>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</si>
  <si>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</si>
  <si>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</si>
  <si>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</si>
  <si>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</si>
  <si>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</si>
  <si>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</si>
  <si>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</si>
  <si>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</si>
  <si>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</si>
  <si>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</si>
  <si>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</si>
  <si>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</si>
  <si>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</si>
  <si>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</si>
  <si>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</si>
  <si>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</si>
  <si>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</si>
  <si>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</si>
  <si>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</si>
  <si>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</si>
  <si>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</si>
  <si>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</si>
  <si>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</si>
  <si>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</si>
  <si>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</si>
  <si>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</si>
  <si>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</si>
  <si>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</si>
  <si>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</si>
  <si>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</si>
  <si>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</si>
  <si>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</si>
  <si>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</si>
  <si>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</si>
  <si>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</si>
  <si>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</si>
  <si>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</si>
  <si>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</si>
  <si>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</si>
  <si>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</si>
  <si>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</si>
  <si>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</si>
  <si>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</si>
  <si>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</si>
  <si>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</si>
  <si>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</si>
  <si>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</si>
  <si>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</si>
  <si>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</si>
  <si>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</si>
  <si>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</si>
  <si>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</si>
  <si>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</si>
  <si>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</si>
  <si>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</si>
  <si>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</si>
  <si>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</si>
  <si>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</si>
  <si>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</si>
  <si>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</si>
  <si>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</si>
  <si>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</si>
  <si>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</si>
  <si>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</si>
  <si>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</si>
  <si>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</si>
  <si>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</si>
  <si>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</si>
  <si>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</si>
  <si>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</si>
  <si>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</si>
  <si>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</si>
  <si>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</si>
  <si>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</si>
  <si>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</si>
  <si>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</si>
  <si>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</si>
  <si>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</si>
  <si>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</si>
  <si>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</si>
  <si>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</si>
  <si>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</si>
  <si>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</si>
  <si>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</si>
  <si>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</si>
  <si>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</si>
  <si>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</si>
  <si>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</si>
  <si>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</si>
  <si>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</si>
  <si>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</si>
  <si>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</si>
  <si>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</si>
  <si>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</si>
  <si>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</si>
  <si>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</si>
  <si>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</si>
  <si>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</si>
  <si>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</si>
  <si>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</si>
  <si>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</si>
  <si>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</si>
  <si>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</si>
  <si>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</si>
  <si>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</si>
  <si>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</si>
  <si>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</si>
  <si>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</si>
  <si>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</si>
  <si>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</si>
  <si>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</si>
  <si>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</si>
  <si>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</si>
  <si>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</si>
  <si>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</si>
  <si>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</si>
  <si>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</si>
  <si>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</si>
  <si>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</si>
  <si>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</si>
  <si>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</si>
  <si>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</si>
  <si>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</si>
  <si>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</si>
  <si>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</si>
  <si>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</si>
  <si>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</si>
  <si>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</si>
  <si>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</si>
  <si>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</si>
  <si>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</si>
  <si>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</si>
  <si>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</si>
  <si>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</si>
  <si>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</si>
  <si>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</si>
  <si>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</si>
  <si>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</si>
  <si>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</si>
  <si>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</si>
  <si>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</si>
  <si>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</si>
  <si>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</si>
  <si>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</si>
  <si>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</si>
  <si>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</si>
  <si>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</si>
  <si>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</si>
  <si>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</si>
  <si>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</si>
  <si>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</si>
  <si>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</si>
  <si>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</si>
  <si>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</si>
  <si>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</si>
  <si>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</si>
  <si>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</si>
  <si>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</si>
  <si>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</si>
  <si>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</si>
  <si>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</si>
  <si>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</si>
  <si>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</si>
  <si>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</si>
  <si>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</si>
  <si>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</si>
  <si>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</si>
  <si>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</si>
  <si>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</si>
  <si>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</si>
  <si>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</si>
  <si>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</si>
  <si>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</si>
  <si>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</si>
  <si>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</si>
  <si>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</si>
  <si>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</si>
  <si>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</si>
  <si>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</si>
  <si>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</si>
  <si>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</si>
  <si>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</si>
  <si>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</si>
  <si>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</si>
  <si>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</si>
  <si>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</si>
  <si>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</si>
  <si>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</si>
  <si>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</si>
  <si>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</si>
  <si>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</si>
  <si>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</si>
  <si>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</si>
  <si>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</si>
  <si>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</si>
  <si>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</si>
  <si>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</si>
  <si>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</si>
  <si>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</si>
  <si>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</si>
  <si>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</si>
  <si>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</si>
  <si>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</si>
  <si>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</si>
  <si>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</si>
  <si>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</si>
  <si>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</si>
  <si>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</si>
  <si>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</si>
  <si>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</si>
  <si>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</si>
  <si>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</si>
  <si>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</si>
  <si>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</si>
  <si>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</si>
  <si>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</si>
  <si>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</si>
  <si>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</si>
  <si>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</si>
  <si>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</si>
  <si>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</si>
  <si>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</si>
  <si>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</si>
  <si>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</si>
  <si>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</si>
  <si>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</si>
  <si>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</si>
  <si>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</si>
  <si>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</si>
  <si>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</si>
  <si>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</si>
  <si>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</si>
  <si>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</si>
  <si>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</si>
  <si>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</si>
  <si>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</si>
  <si>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</si>
  <si>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</si>
  <si>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</si>
  <si>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</si>
  <si>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</si>
  <si>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</si>
  <si>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</si>
  <si>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</si>
  <si>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</si>
  <si>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</si>
  <si>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</si>
  <si>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</si>
  <si>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</si>
  <si>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</si>
  <si>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</si>
  <si>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</si>
  <si>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</si>
  <si>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</si>
  <si>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</si>
  <si>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</si>
  <si>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</si>
  <si>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</si>
  <si>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</si>
  <si>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</si>
  <si>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</si>
  <si>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</si>
  <si>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</si>
  <si>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</si>
  <si>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</si>
  <si>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</si>
  <si>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</si>
  <si>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</si>
  <si>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</si>
  <si>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</si>
  <si>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</si>
  <si>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</si>
  <si>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</si>
  <si>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</si>
  <si>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</si>
  <si>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</si>
  <si>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</si>
  <si>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</si>
  <si>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</si>
  <si>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</si>
  <si>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</si>
  <si>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</si>
  <si>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</si>
  <si>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</si>
  <si>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</si>
  <si>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</si>
  <si>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</si>
  <si>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</si>
  <si>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</si>
  <si>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</si>
  <si>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</si>
  <si>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</si>
  <si>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</si>
  <si>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</si>
  <si>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</si>
  <si>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</si>
  <si>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</si>
  <si>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</si>
  <si>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</si>
  <si>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</si>
  <si>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</si>
  <si>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</si>
  <si>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</si>
  <si>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</si>
  <si>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</si>
  <si>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</si>
  <si>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</si>
  <si>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</si>
  <si>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</si>
  <si>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</si>
  <si>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</si>
  <si>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</si>
  <si>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</si>
  <si>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</si>
  <si>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</si>
  <si>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</si>
  <si>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</si>
  <si>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</si>
  <si>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</si>
  <si>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</si>
  <si>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</si>
  <si>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</si>
  <si>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</si>
  <si>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</si>
  <si>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</si>
  <si>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</si>
  <si>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</si>
  <si>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</si>
  <si>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</si>
  <si>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</si>
  <si>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</si>
  <si>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</si>
  <si>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</si>
  <si>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</si>
  <si>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</si>
  <si>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</si>
  <si>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</si>
  <si>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</si>
  <si>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</si>
  <si>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</si>
  <si>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</si>
  <si>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</si>
  <si>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</si>
  <si>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</si>
  <si>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</si>
  <si>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</si>
  <si>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</si>
  <si>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</si>
  <si>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</si>
  <si>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</si>
  <si>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</si>
  <si>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</si>
  <si>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</si>
  <si>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</si>
  <si>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</si>
  <si>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</si>
  <si>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</si>
  <si>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</si>
  <si>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</si>
  <si>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</si>
  <si>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</si>
  <si>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</si>
  <si>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</si>
  <si>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</si>
  <si>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</si>
  <si>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</si>
  <si>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</si>
  <si>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</si>
  <si>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</si>
  <si>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</si>
  <si>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</si>
  <si>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</si>
  <si>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</si>
  <si>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</si>
  <si>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</si>
  <si>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</si>
  <si>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</si>
  <si>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</si>
  <si>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</si>
  <si>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</si>
  <si>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</si>
  <si>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</si>
  <si>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</si>
  <si>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</si>
  <si>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</si>
  <si>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</si>
  <si>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</si>
  <si>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</si>
  <si>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</si>
  <si>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</si>
  <si>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</si>
  <si>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</si>
  <si>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</si>
  <si>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</si>
  <si>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</si>
  <si>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</si>
  <si>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</si>
  <si>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</si>
  <si>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</si>
  <si>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</si>
  <si>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</si>
  <si>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</si>
  <si>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</si>
  <si>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</si>
  <si>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</si>
  <si>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</si>
  <si>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</si>
  <si>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</si>
  <si>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</si>
  <si>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</si>
  <si>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</si>
  <si>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</si>
  <si>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</si>
  <si>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</si>
  <si>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</si>
  <si>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</si>
  <si>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</si>
  <si>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</si>
  <si>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</si>
  <si>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</si>
  <si>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</si>
  <si>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</si>
  <si>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</si>
  <si>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</si>
  <si>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</si>
  <si>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</si>
  <si>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</si>
  <si>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</si>
  <si>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</si>
  <si>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</si>
  <si>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</si>
  <si>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</si>
  <si>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</si>
  <si>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</si>
  <si>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</si>
  <si>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</si>
  <si>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</si>
  <si>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</si>
  <si>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</si>
  <si>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</si>
  <si>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</si>
  <si>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</si>
  <si>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</si>
  <si>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</si>
  <si>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</si>
  <si>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</si>
  <si>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</si>
  <si>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</si>
  <si>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</si>
  <si>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</si>
  <si>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</si>
  <si>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</si>
  <si>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</si>
  <si>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</si>
  <si>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</si>
  <si>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</si>
  <si>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</si>
  <si>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</si>
  <si>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</si>
  <si>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</si>
  <si>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</si>
  <si>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</si>
  <si>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</si>
  <si>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</si>
  <si>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</si>
  <si>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</si>
  <si>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</si>
  <si>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</si>
  <si>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</si>
  <si>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</si>
  <si>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</si>
  <si>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</si>
  <si>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</si>
  <si>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</si>
  <si>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</si>
  <si>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</si>
  <si>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</si>
  <si>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</si>
  <si>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</si>
  <si>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</si>
  <si>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</si>
  <si>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</si>
  <si>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</si>
  <si>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</si>
  <si>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</si>
  <si>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</si>
  <si>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</si>
  <si>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</si>
  <si>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</si>
  <si>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</si>
  <si>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</si>
  <si>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</si>
  <si>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</si>
  <si>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</si>
  <si>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</si>
  <si>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</si>
  <si>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</si>
  <si>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</si>
  <si>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</si>
  <si>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</si>
  <si>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</si>
  <si>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</si>
  <si>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</si>
  <si>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</si>
  <si>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</si>
  <si>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</si>
  <si>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</si>
  <si>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</si>
  <si>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</si>
  <si>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</si>
  <si>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</si>
  <si>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</si>
  <si>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</si>
  <si>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</si>
  <si>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</si>
  <si>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</si>
  <si>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</si>
  <si>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</si>
  <si>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</si>
  <si>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</si>
  <si>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</si>
  <si>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</si>
  <si>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</si>
  <si>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</si>
  <si>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</si>
  <si>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</si>
  <si>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</si>
  <si>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</si>
  <si>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</si>
  <si>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</si>
  <si>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</si>
  <si>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</si>
  <si>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</si>
  <si>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</si>
  <si>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</si>
  <si>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</si>
  <si>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</si>
  <si>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</si>
  <si>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</si>
  <si>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</si>
  <si>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</si>
  <si>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</si>
  <si>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</si>
  <si>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</si>
  <si>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</si>
  <si>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</si>
  <si>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</si>
  <si>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</si>
  <si>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</si>
  <si>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</si>
  <si>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</si>
  <si>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</si>
  <si>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</si>
  <si>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</si>
  <si>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</si>
  <si>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</si>
  <si>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</si>
  <si>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</si>
  <si>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</si>
  <si>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</si>
  <si>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</si>
  <si>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</si>
  <si>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</si>
  <si>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</si>
  <si>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</si>
  <si>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</si>
  <si>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</si>
  <si>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</si>
  <si>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</si>
  <si>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</si>
  <si>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</si>
  <si>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</si>
  <si>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</si>
  <si>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</si>
  <si>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</si>
  <si>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</si>
  <si>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</si>
  <si>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</si>
  <si>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</si>
  <si>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</si>
  <si>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</si>
  <si>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</si>
  <si>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</si>
  <si>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</si>
  <si>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</si>
  <si>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</si>
  <si>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</si>
  <si>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</si>
  <si>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</si>
  <si>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</si>
  <si>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</si>
  <si>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</si>
  <si>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</si>
  <si>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</si>
  <si>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</si>
  <si>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</si>
  <si>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</si>
  <si>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</si>
  <si>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</si>
  <si>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</si>
  <si>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</si>
  <si>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</si>
  <si>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</si>
  <si>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</si>
  <si>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</si>
  <si>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</si>
  <si>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</si>
  <si>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</si>
  <si>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</si>
  <si>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</si>
  <si>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</si>
  <si>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</si>
  <si>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</si>
  <si>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</si>
  <si>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</si>
  <si>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</si>
  <si>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</si>
  <si>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</si>
  <si>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</si>
  <si>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</si>
  <si>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</si>
  <si>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</si>
  <si>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</si>
  <si>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</si>
  <si>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</si>
  <si>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</si>
  <si>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</si>
  <si>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</si>
  <si>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</si>
  <si>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</si>
  <si>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</si>
  <si>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</si>
  <si>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</si>
  <si>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</si>
  <si>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</si>
  <si>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</si>
  <si>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</si>
  <si>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</si>
  <si>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</si>
  <si>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</si>
  <si>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</si>
  <si>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</si>
  <si>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</si>
  <si>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</si>
  <si>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</si>
  <si>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</si>
  <si>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</si>
  <si>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</si>
  <si>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</si>
  <si>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</si>
  <si>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</si>
  <si>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</si>
  <si>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</si>
  <si>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</si>
  <si>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</si>
  <si>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</si>
  <si>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</si>
  <si>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</si>
  <si>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</si>
  <si>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</si>
  <si>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</si>
  <si>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</si>
  <si>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</si>
  <si>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</si>
  <si>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</si>
  <si>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</si>
  <si>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</si>
  <si>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</si>
  <si>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</si>
  <si>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</si>
  <si>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</si>
  <si>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</si>
  <si>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</si>
  <si>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</si>
  <si>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</si>
  <si>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</si>
  <si>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</si>
  <si>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</si>
  <si>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</si>
  <si>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</si>
  <si>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</si>
  <si>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</si>
  <si>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</si>
  <si>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</si>
  <si>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</si>
  <si>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</si>
  <si>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</si>
  <si>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</si>
  <si>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</si>
  <si>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</si>
  <si>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</si>
  <si>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</si>
  <si>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</si>
  <si>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</si>
  <si>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</si>
  <si>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</si>
  <si>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</si>
  <si>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</si>
  <si>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</si>
  <si>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</si>
  <si>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</si>
  <si>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</si>
  <si>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</si>
  <si>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</si>
  <si>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</si>
  <si>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</si>
  <si>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</si>
  <si>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</si>
  <si>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</si>
  <si>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</si>
  <si>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</si>
  <si>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</si>
  <si>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</si>
  <si>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</si>
  <si>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</si>
  <si>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</si>
  <si>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</si>
  <si>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</si>
  <si>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</si>
  <si>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</si>
  <si>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</si>
  <si>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</si>
  <si>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</si>
  <si>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</si>
  <si>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</si>
  <si>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</si>
  <si>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</si>
  <si>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</si>
  <si>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</si>
  <si>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</si>
  <si>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</si>
  <si>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</si>
  <si>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</si>
  <si>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</si>
  <si>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</si>
  <si>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</si>
  <si>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</si>
  <si>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</si>
  <si>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</si>
  <si>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</si>
  <si>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</si>
  <si>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</si>
  <si>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</si>
  <si>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</si>
  <si>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</si>
  <si>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</si>
  <si>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</si>
  <si>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</si>
  <si>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</si>
  <si>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</si>
  <si>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</si>
  <si>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</si>
  <si>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</si>
  <si>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</si>
  <si>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</si>
  <si>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</si>
  <si>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</si>
  <si>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</si>
  <si>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</si>
  <si>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</si>
  <si>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</si>
  <si>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</si>
  <si>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</si>
  <si>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</si>
  <si>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</si>
  <si>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</si>
  <si>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</si>
  <si>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</si>
  <si>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</si>
  <si>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</si>
  <si>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</si>
  <si>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</si>
  <si>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</si>
  <si>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</si>
  <si>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</si>
  <si>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</si>
  <si>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</si>
  <si>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</si>
  <si>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</si>
  <si>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</si>
  <si>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</si>
  <si>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</si>
  <si>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</si>
  <si>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</si>
  <si>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</si>
  <si>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</si>
  <si>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</si>
  <si>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</si>
  <si>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</si>
  <si>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</si>
  <si>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</si>
  <si>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</si>
  <si>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</si>
  <si>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</si>
  <si>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</si>
  <si>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</si>
  <si>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</si>
  <si>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</si>
  <si>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</si>
  <si>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</si>
  <si>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</si>
  <si>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</si>
  <si>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</si>
  <si>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</si>
  <si>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</si>
  <si>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</si>
  <si>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</si>
  <si>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</si>
  <si>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</si>
  <si>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</si>
  <si>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</si>
  <si>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</si>
  <si>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</si>
  <si>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</si>
  <si>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</si>
  <si>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</si>
  <si>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</si>
  <si>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</si>
  <si>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</si>
  <si>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</si>
  <si>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</si>
  <si>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</si>
  <si>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</si>
  <si>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</si>
  <si>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</si>
  <si>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</si>
  <si>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</si>
  <si>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</si>
  <si>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</si>
  <si>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</si>
  <si>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</si>
  <si>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</si>
  <si>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</si>
  <si>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</si>
  <si>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</si>
  <si>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</si>
  <si>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</si>
  <si>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</si>
  <si>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</si>
  <si>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</si>
  <si>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</si>
  <si>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</si>
  <si>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</si>
  <si>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</si>
  <si>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</si>
  <si>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</si>
  <si>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</si>
  <si>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</si>
  <si>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</si>
  <si>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</si>
  <si>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</si>
  <si>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</si>
  <si>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</si>
  <si>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</si>
  <si>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</si>
  <si>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</si>
  <si>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</si>
  <si>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</si>
  <si>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</si>
  <si>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</si>
  <si>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</si>
  <si>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</si>
  <si>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</si>
  <si>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</si>
  <si>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</si>
  <si>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</si>
  <si>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</si>
  <si>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</si>
  <si>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</si>
  <si>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</si>
  <si>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</si>
  <si>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</si>
  <si>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</si>
  <si>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</si>
  <si>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</si>
  <si>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</si>
  <si>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</si>
  <si>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</si>
  <si>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</si>
  <si>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</si>
  <si>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</si>
  <si>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</si>
  <si>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</si>
  <si>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</si>
  <si>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</si>
  <si>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</si>
  <si>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</si>
  <si>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</si>
  <si>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</si>
  <si>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</si>
  <si>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</si>
  <si>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</si>
  <si>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</si>
  <si>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</si>
  <si>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</si>
  <si>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</si>
  <si>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</si>
  <si>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</si>
  <si>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</si>
  <si>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</si>
  <si>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</si>
  <si>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</si>
  <si>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</si>
  <si>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</si>
  <si>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</si>
  <si>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</si>
  <si>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</si>
  <si>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</si>
  <si>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</si>
  <si>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</si>
  <si>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</si>
  <si>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</si>
  <si>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</si>
  <si>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</si>
  <si>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</si>
  <si>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</si>
  <si>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</si>
  <si>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</si>
  <si>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</si>
  <si>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</si>
  <si>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</si>
  <si>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</si>
  <si>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</si>
  <si>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</si>
  <si>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</si>
  <si>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</si>
  <si>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</si>
  <si>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</si>
  <si>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</si>
  <si>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</si>
  <si>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</si>
  <si>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</si>
  <si>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</si>
  <si>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</si>
  <si>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</si>
  <si>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</si>
  <si>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</si>
  <si>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</si>
  <si>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</si>
  <si>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</si>
  <si>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</si>
  <si>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</si>
  <si>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</si>
  <si>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</si>
  <si>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</si>
  <si>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</si>
  <si>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</si>
  <si>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</si>
  <si>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</si>
  <si>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</si>
  <si>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</si>
  <si>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</si>
  <si>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</si>
  <si>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</si>
  <si>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</si>
  <si>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</si>
  <si>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</si>
  <si>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</si>
  <si>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</si>
  <si>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</si>
  <si>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</si>
  <si>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</si>
  <si>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</si>
  <si>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</si>
  <si>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</si>
  <si>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</si>
  <si>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</si>
  <si>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</si>
  <si>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</si>
  <si>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</si>
  <si>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</si>
  <si>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</si>
  <si>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</si>
  <si>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</si>
  <si>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</si>
  <si>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</si>
  <si>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</si>
  <si>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</si>
  <si>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</si>
  <si>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</si>
  <si>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</si>
  <si>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</si>
  <si>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</si>
  <si>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</si>
  <si>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</si>
  <si>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</si>
  <si>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</si>
  <si>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</si>
  <si>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</si>
  <si>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</si>
  <si>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</si>
  <si>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</si>
  <si>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</si>
  <si>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</si>
  <si>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</si>
  <si>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</si>
  <si>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</si>
  <si>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</si>
  <si>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</si>
  <si>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</si>
  <si>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</si>
  <si>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</si>
  <si>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</si>
  <si>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</si>
  <si>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</si>
  <si>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</si>
  <si>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</si>
  <si>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</si>
  <si>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</si>
  <si>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</si>
  <si>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</si>
  <si>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</si>
  <si>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</si>
  <si>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</si>
  <si>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</si>
  <si>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</si>
  <si>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</si>
  <si>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</si>
  <si>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</si>
  <si>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</si>
  <si>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</si>
  <si>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</si>
  <si>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</si>
  <si>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</si>
  <si>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</si>
  <si>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</si>
  <si>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</si>
  <si>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</si>
  <si>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</si>
  <si>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</si>
  <si>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</si>
  <si>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</si>
  <si>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</si>
  <si>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</si>
  <si>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</si>
  <si>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</si>
  <si>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</si>
  <si>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</si>
  <si>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</si>
  <si>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</si>
  <si>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</si>
  <si>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</si>
  <si>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</si>
  <si>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</si>
  <si>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</si>
  <si>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</si>
  <si>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</si>
  <si>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</si>
  <si>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</si>
  <si>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</si>
  <si>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</si>
  <si>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</si>
  <si>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</si>
  <si>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</si>
  <si>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</si>
  <si>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</si>
  <si>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</si>
  <si>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</si>
  <si>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</si>
  <si>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</si>
  <si>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</si>
  <si>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</si>
  <si>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</si>
  <si>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</si>
  <si>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</si>
  <si>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</si>
  <si>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</si>
  <si>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</si>
  <si>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</si>
  <si>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</si>
  <si>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</si>
  <si>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</si>
  <si>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</si>
  <si>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</si>
  <si>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</si>
  <si>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</si>
  <si>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</si>
  <si>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</si>
  <si>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</si>
  <si>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</si>
  <si>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</si>
  <si>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</si>
  <si>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</si>
  <si>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</si>
  <si>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</si>
  <si>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</si>
  <si>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</si>
  <si>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</si>
  <si>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</si>
  <si>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</si>
  <si>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</si>
  <si>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</si>
  <si>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</si>
  <si>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</si>
  <si>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</si>
  <si>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</si>
  <si>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</si>
  <si>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</si>
  <si>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</si>
  <si>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</si>
  <si>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</si>
  <si>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</si>
  <si>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</si>
  <si>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</si>
  <si>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</si>
  <si>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</si>
  <si>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</si>
  <si>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</si>
  <si>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</si>
  <si>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</si>
  <si>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</si>
  <si>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</si>
  <si>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</si>
  <si>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</si>
  <si>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</si>
  <si>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</si>
  <si>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</si>
  <si>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</si>
  <si>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</si>
  <si>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</si>
  <si>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</si>
  <si>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</si>
  <si>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</si>
  <si>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</si>
  <si>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</si>
  <si>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</si>
  <si>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</si>
  <si>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</si>
  <si>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</si>
  <si>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</si>
  <si>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</si>
  <si>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</si>
  <si>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</si>
  <si>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</si>
  <si>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</si>
  <si>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</si>
  <si>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</si>
  <si>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</si>
  <si>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</si>
  <si>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</si>
  <si>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</si>
  <si>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</si>
  <si>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</si>
  <si>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</si>
  <si>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</si>
  <si>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</si>
  <si>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</si>
  <si>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</si>
  <si>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</si>
  <si>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</si>
  <si>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</si>
  <si>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</si>
  <si>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</si>
  <si>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</si>
  <si>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</si>
  <si>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</si>
  <si>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</si>
  <si>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</si>
  <si>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</si>
  <si>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</si>
  <si>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</si>
  <si>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</si>
  <si>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</si>
  <si>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</si>
  <si>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</si>
  <si>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</si>
  <si>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</si>
  <si>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</si>
  <si>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</si>
  <si>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</si>
  <si>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</si>
  <si>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</si>
  <si>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</si>
  <si>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</si>
  <si>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</si>
  <si>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</si>
  <si>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</si>
  <si>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</si>
  <si>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</si>
  <si>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</si>
  <si>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</si>
  <si>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</si>
  <si>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</si>
  <si>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</si>
  <si>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</si>
  <si>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</si>
  <si>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</si>
  <si>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</si>
  <si>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</si>
  <si>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</si>
  <si>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</si>
  <si>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</si>
  <si>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</si>
  <si>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</si>
  <si>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</si>
  <si>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</si>
  <si>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</si>
  <si>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</si>
  <si>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</si>
  <si>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</si>
  <si>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</si>
  <si>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</si>
  <si>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</si>
  <si>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</si>
  <si>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</si>
  <si>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</si>
  <si>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</si>
  <si>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</si>
  <si>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</si>
  <si>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</si>
  <si>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</si>
  <si>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</si>
  <si>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</si>
  <si>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</si>
  <si>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</si>
  <si>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</si>
  <si>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</si>
  <si>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</si>
  <si>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</si>
  <si>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</si>
  <si>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</si>
  <si>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</si>
  <si>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</si>
  <si>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</si>
  <si>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</si>
  <si>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</si>
  <si>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</si>
  <si>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</si>
  <si>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</si>
  <si>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</si>
  <si>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</si>
  <si>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</si>
  <si>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</si>
  <si>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</si>
  <si>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</si>
  <si>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</si>
  <si>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</si>
  <si>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</si>
  <si>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</si>
  <si>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</si>
  <si>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</si>
  <si>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</si>
  <si>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</si>
  <si>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</si>
  <si>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</si>
  <si>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</si>
  <si>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</si>
  <si>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</si>
  <si>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</si>
  <si>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</si>
  <si>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</si>
  <si>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</si>
  <si>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</si>
  <si>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</si>
  <si>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</si>
  <si>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</si>
  <si>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</si>
  <si>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</si>
  <si>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</si>
  <si>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</si>
  <si>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</si>
  <si>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</si>
  <si>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</si>
  <si>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</si>
  <si>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</si>
  <si>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</si>
  <si>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</si>
  <si>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</si>
  <si>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</si>
  <si>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</si>
  <si>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</si>
  <si>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</si>
  <si>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</si>
  <si>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</si>
  <si>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</si>
  <si>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</si>
  <si>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</si>
  <si>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</si>
  <si>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</si>
  <si>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</si>
  <si>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</si>
  <si>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</si>
  <si>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</si>
  <si>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</si>
  <si>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</si>
  <si>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</si>
  <si>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</si>
  <si>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</si>
  <si>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</si>
  <si>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</si>
  <si>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</si>
  <si>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</si>
  <si>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</si>
  <si>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</si>
  <si>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</si>
  <si>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</si>
  <si>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</si>
  <si>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</si>
  <si>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</si>
  <si>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</si>
  <si>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</si>
  <si>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</si>
  <si>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</si>
  <si>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</si>
  <si>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</si>
  <si>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</si>
  <si>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</si>
  <si>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</si>
  <si>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</si>
  <si>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</si>
  <si>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</si>
  <si>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</si>
  <si>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</si>
  <si>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</si>
  <si>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</si>
  <si>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</si>
  <si>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</si>
  <si>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</si>
  <si>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</si>
  <si>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</si>
  <si>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</si>
  <si>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</si>
  <si>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</si>
  <si>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</si>
  <si>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</si>
  <si>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</si>
  <si>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</si>
  <si>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</si>
  <si>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</si>
  <si>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</si>
  <si>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</si>
  <si>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</si>
  <si>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</si>
  <si>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</si>
  <si>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</si>
  <si>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</si>
  <si>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</si>
  <si>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</si>
  <si>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</si>
  <si>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</si>
  <si>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</si>
  <si>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</si>
  <si>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</si>
  <si>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</si>
  <si>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</si>
  <si>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</si>
  <si>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</si>
  <si>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</si>
  <si>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</si>
  <si>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</si>
  <si>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</si>
  <si>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</si>
  <si>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</si>
  <si>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</si>
  <si>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</si>
  <si>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</si>
  <si>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</si>
  <si>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</si>
  <si>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</si>
  <si>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</si>
  <si>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</si>
  <si>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</si>
  <si>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</si>
  <si>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</si>
  <si>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</si>
  <si>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</si>
  <si>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</si>
  <si>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</si>
  <si>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</si>
  <si>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</si>
  <si>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</si>
  <si>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</si>
  <si>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</si>
  <si>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</si>
  <si>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</si>
  <si>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</si>
  <si>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</si>
  <si>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</si>
  <si>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</si>
  <si>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</si>
  <si>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</si>
  <si>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</si>
  <si>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</si>
  <si>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</si>
  <si>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</si>
  <si>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</si>
  <si>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</si>
  <si>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</si>
  <si>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</si>
  <si>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</si>
  <si>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</si>
  <si>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</si>
  <si>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</si>
  <si>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</si>
  <si>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</si>
  <si>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</si>
  <si>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</si>
  <si>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</si>
  <si>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</si>
  <si>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</si>
  <si>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</si>
  <si>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</si>
  <si>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</si>
  <si>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</si>
  <si>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</si>
  <si>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</si>
  <si>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</si>
  <si>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</si>
  <si>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</si>
  <si>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</si>
  <si>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</si>
  <si>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</si>
  <si>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</si>
  <si>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</si>
  <si>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</si>
  <si>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</si>
  <si>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</si>
  <si>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</si>
  <si>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</si>
  <si>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</si>
  <si>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</si>
  <si>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</si>
  <si>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</si>
  <si>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</si>
  <si>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</si>
  <si>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</si>
  <si>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</si>
  <si>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</si>
  <si>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</si>
  <si>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</si>
  <si>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</si>
  <si>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</si>
  <si>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</si>
  <si>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</si>
  <si>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</si>
  <si>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</si>
  <si>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</si>
  <si>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</si>
  <si>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</si>
  <si>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</si>
  <si>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</si>
  <si>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</si>
  <si>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</si>
  <si>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</si>
  <si>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</si>
  <si>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</si>
  <si>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</si>
  <si>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</si>
  <si>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</si>
  <si>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</si>
  <si>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</si>
  <si>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</si>
  <si>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</si>
  <si>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</si>
  <si>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</si>
  <si>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</si>
  <si>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</si>
  <si>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</si>
  <si>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</si>
  <si>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</si>
  <si>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</si>
  <si>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</si>
  <si>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</si>
  <si>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</si>
  <si>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</si>
  <si>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</si>
  <si>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</si>
  <si>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</si>
  <si>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</si>
  <si>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</si>
  <si>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</si>
  <si>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</si>
  <si>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</si>
  <si>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</si>
  <si>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</si>
  <si>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</si>
  <si>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</si>
  <si>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</si>
  <si>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</si>
  <si>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</si>
  <si>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</si>
  <si>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</si>
  <si>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</si>
  <si>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</si>
  <si>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</si>
  <si>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</si>
  <si>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</si>
  <si>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</si>
  <si>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</si>
  <si>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</si>
  <si>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</si>
  <si>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</si>
  <si>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</si>
  <si>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</si>
  <si>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</si>
  <si>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</si>
  <si>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</si>
  <si>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</si>
  <si>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</si>
  <si>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</si>
  <si>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</si>
  <si>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</si>
  <si>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</si>
  <si>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</si>
  <si>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</si>
  <si>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</si>
  <si>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</si>
  <si>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</si>
  <si>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</si>
  <si>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</si>
  <si>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</si>
  <si>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</si>
  <si>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</si>
  <si>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</si>
  <si>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</si>
  <si>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</si>
  <si>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</si>
  <si>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</si>
  <si>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</si>
  <si>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</si>
  <si>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</si>
  <si>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</si>
  <si>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</si>
  <si>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</si>
  <si>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</si>
  <si>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</si>
  <si>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</si>
  <si>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</si>
  <si>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</si>
  <si>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</si>
  <si>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</si>
  <si>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</si>
  <si>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</si>
  <si>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</si>
  <si>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</si>
  <si>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</si>
  <si>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</si>
  <si>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</si>
  <si>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</si>
  <si>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</si>
  <si>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</si>
  <si>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</si>
  <si>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</si>
  <si>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</si>
  <si>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</si>
  <si>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</si>
  <si>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</si>
  <si>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</si>
  <si>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</si>
  <si>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</si>
  <si>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</si>
  <si>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</si>
  <si>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</si>
  <si>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</si>
  <si>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</si>
  <si>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</si>
  <si>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</si>
  <si>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</si>
  <si>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</si>
  <si>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</si>
  <si>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</si>
  <si>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</si>
  <si>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</si>
  <si>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</si>
  <si>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</si>
  <si>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</si>
  <si>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</si>
  <si>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</si>
  <si>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</si>
  <si>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</si>
  <si>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</si>
  <si>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</si>
  <si>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</si>
  <si>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</si>
  <si>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</si>
  <si>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</si>
  <si>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</si>
  <si>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</si>
  <si>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</si>
  <si>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</si>
  <si>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</si>
  <si>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</si>
  <si>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</si>
  <si>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</si>
  <si>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</si>
  <si>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</si>
  <si>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</si>
  <si>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</si>
  <si>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</si>
  <si>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</si>
  <si>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</si>
  <si>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</si>
  <si>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</si>
  <si>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</si>
  <si>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</si>
  <si>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</si>
  <si>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</si>
  <si>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</si>
  <si>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</si>
  <si>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</si>
  <si>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</si>
  <si>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</si>
  <si>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</si>
  <si>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</si>
  <si>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</si>
  <si>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</si>
  <si>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</si>
  <si>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</si>
  <si>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</si>
  <si>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</si>
  <si>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</si>
  <si>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</si>
  <si>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</si>
  <si>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</si>
  <si>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</si>
  <si>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</si>
  <si>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</si>
  <si>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</si>
  <si>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</si>
  <si>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</si>
  <si>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</si>
  <si>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</si>
  <si>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</si>
  <si>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</si>
  <si>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</si>
  <si>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</si>
  <si>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</si>
  <si>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</si>
  <si>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</si>
  <si>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</si>
  <si>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</si>
  <si>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</si>
  <si>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</si>
  <si>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</si>
  <si>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</si>
  <si>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</si>
  <si>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</si>
  <si>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</si>
  <si>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</si>
  <si>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</si>
  <si>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</si>
  <si>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</si>
  <si>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</si>
  <si>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</si>
  <si>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</si>
  <si>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</si>
  <si>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</si>
  <si>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</si>
  <si>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</si>
  <si>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</si>
  <si>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</si>
  <si>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</si>
  <si>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</si>
  <si>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</si>
  <si>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</si>
  <si>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</si>
  <si>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</si>
  <si>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</si>
  <si>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</si>
  <si>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</si>
  <si>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</si>
  <si>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</si>
  <si>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</si>
  <si>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</si>
  <si>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</si>
  <si>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</si>
  <si>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</si>
  <si>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</si>
  <si>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</si>
  <si>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</si>
  <si>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</si>
  <si>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</si>
  <si>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</si>
  <si>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</si>
  <si>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</si>
  <si>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</si>
  <si>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</si>
  <si>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</si>
  <si>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</si>
  <si>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</si>
  <si>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</si>
  <si>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</si>
  <si>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</si>
  <si>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</si>
  <si>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</si>
  <si>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</si>
  <si>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</si>
  <si>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</si>
  <si>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</si>
  <si>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</si>
  <si>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</si>
  <si>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</si>
  <si>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</si>
  <si>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</si>
  <si>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</si>
  <si>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</si>
  <si>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</si>
  <si>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</si>
  <si>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</si>
  <si>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</si>
  <si>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</si>
  <si>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</si>
  <si>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</si>
  <si>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</si>
  <si>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</si>
  <si>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</si>
  <si>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</si>
  <si>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</si>
  <si>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</si>
  <si>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</si>
  <si>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</si>
  <si>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</si>
  <si>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</si>
  <si>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</si>
  <si>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</si>
  <si>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</si>
  <si>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</si>
  <si>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</si>
  <si>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</si>
  <si>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</si>
  <si>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</si>
  <si>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</si>
  <si>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</si>
  <si>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</si>
  <si>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</si>
  <si>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</si>
  <si>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</si>
  <si>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</si>
  <si>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</si>
  <si>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</si>
  <si>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</si>
  <si>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</si>
  <si>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</si>
  <si>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</si>
  <si>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</si>
  <si>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</si>
  <si>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</si>
  <si>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</si>
  <si>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</si>
  <si>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</si>
  <si>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</si>
  <si>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</si>
  <si>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</si>
  <si>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</si>
  <si>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</si>
  <si>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</si>
  <si>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</si>
  <si>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</si>
  <si>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</si>
  <si>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</si>
  <si>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</si>
  <si>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</si>
  <si>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</si>
  <si>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</si>
  <si>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</si>
  <si>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</si>
  <si>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</si>
  <si>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</si>
  <si>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</si>
  <si>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</si>
  <si>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</si>
  <si>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</si>
  <si>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</si>
  <si>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</si>
  <si>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</si>
  <si>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</si>
  <si>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</si>
  <si>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</si>
  <si>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</si>
  <si>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</si>
  <si>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</si>
  <si>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</si>
  <si>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</si>
  <si>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</si>
  <si>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</si>
  <si>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</si>
  <si>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</si>
  <si>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</si>
  <si>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</si>
  <si>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</si>
  <si>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</si>
  <si>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</si>
  <si>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</si>
  <si>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</si>
  <si>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</si>
  <si>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</si>
  <si>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</si>
  <si>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</si>
  <si>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</si>
  <si>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</si>
  <si>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</si>
  <si>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</si>
  <si>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</si>
  <si>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</si>
  <si>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</si>
  <si>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</si>
  <si>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</si>
  <si>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</si>
  <si>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</si>
  <si>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</si>
  <si>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</si>
  <si>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</si>
  <si>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</si>
  <si>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</si>
  <si>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</si>
  <si>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</si>
  <si>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</si>
  <si>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</si>
  <si>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</si>
  <si>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</si>
  <si>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</si>
  <si>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</si>
  <si>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</si>
  <si>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</si>
  <si>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</si>
  <si>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</si>
  <si>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</si>
  <si>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</si>
  <si>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</si>
  <si>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</si>
  <si>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</si>
  <si>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</si>
  <si>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</si>
  <si>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</si>
  <si>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</si>
  <si>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</si>
  <si>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</si>
  <si>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</si>
  <si>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</si>
  <si>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</si>
  <si>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</si>
  <si>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</si>
  <si>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</si>
  <si>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</si>
  <si>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</si>
  <si>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</si>
  <si>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</si>
  <si>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</si>
  <si>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</si>
  <si>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</si>
  <si>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</si>
  <si>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</si>
  <si>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</si>
  <si>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</si>
  <si>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</si>
  <si>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</si>
  <si>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</si>
  <si>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</si>
  <si>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</si>
  <si>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</si>
  <si>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</si>
  <si>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</si>
  <si>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</si>
  <si>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</si>
  <si>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</si>
  <si>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</si>
  <si>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</si>
  <si>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</si>
  <si>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</si>
  <si>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</si>
  <si>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</si>
  <si>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</si>
  <si>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</si>
  <si>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</si>
  <si>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</si>
  <si>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</si>
  <si>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</si>
  <si>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</si>
  <si>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</si>
  <si>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</si>
  <si>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</si>
  <si>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</si>
  <si>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</si>
  <si>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</si>
  <si>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</si>
  <si>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</si>
  <si>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</si>
  <si>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</si>
  <si>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</si>
  <si>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</si>
  <si>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</si>
  <si>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</si>
  <si>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</si>
  <si>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</si>
  <si>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</si>
  <si>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</si>
  <si>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</si>
  <si>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</si>
  <si>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</si>
  <si>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</si>
  <si>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</si>
  <si>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</si>
  <si>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</si>
  <si>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</si>
  <si>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</si>
  <si>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</si>
  <si>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</si>
  <si>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</si>
  <si>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</si>
  <si>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</si>
  <si>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</si>
  <si>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</si>
  <si>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</si>
  <si>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</si>
  <si>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</si>
  <si>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</si>
  <si>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</si>
  <si>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</si>
  <si>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</si>
  <si>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</si>
  <si>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</si>
  <si>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</si>
  <si>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</si>
  <si>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</si>
  <si>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</si>
  <si>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</si>
  <si>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</si>
  <si>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</si>
  <si>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</si>
  <si>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</si>
  <si>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</si>
  <si>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</si>
  <si>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</si>
  <si>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</si>
  <si>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</si>
  <si>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</si>
  <si>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</si>
  <si>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</si>
  <si>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</si>
  <si>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</si>
  <si>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</si>
  <si>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</si>
  <si>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</si>
  <si>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</si>
  <si>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</si>
  <si>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</si>
  <si>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</si>
  <si>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</si>
  <si>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</si>
  <si>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</si>
  <si>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</si>
  <si>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</si>
  <si>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</si>
  <si>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</si>
  <si>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</si>
  <si>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</si>
  <si>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</si>
  <si>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</si>
  <si>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</si>
  <si>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</si>
  <si>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</si>
  <si>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</si>
  <si>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</si>
  <si>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</si>
  <si>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</si>
  <si>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</si>
  <si>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</si>
  <si>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</si>
  <si>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</si>
  <si>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</si>
  <si>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</si>
  <si>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</si>
  <si>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</si>
  <si>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</si>
  <si>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</si>
  <si>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</si>
  <si>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</si>
  <si>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</si>
  <si>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</si>
  <si>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</si>
  <si>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</si>
  <si>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</si>
  <si>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</si>
  <si>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</si>
  <si>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</si>
  <si>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</si>
  <si>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</si>
  <si>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</si>
  <si>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</si>
  <si>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</si>
  <si>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</si>
  <si>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</si>
  <si>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</si>
  <si>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</si>
  <si>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</si>
  <si>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</si>
  <si>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</si>
  <si>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</si>
  <si>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</si>
  <si>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</si>
  <si>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</si>
  <si>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</si>
  <si>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</si>
  <si>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</si>
  <si>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</si>
  <si>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</si>
  <si>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</si>
  <si>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</si>
  <si>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</si>
  <si>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</si>
  <si>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</si>
  <si>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</si>
  <si>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</si>
  <si>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</si>
  <si>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</si>
  <si>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</si>
  <si>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</si>
  <si>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</si>
  <si>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</si>
  <si>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</si>
  <si>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</si>
  <si>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</si>
  <si>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</si>
  <si>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</si>
  <si>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</si>
  <si>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</si>
  <si>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</si>
  <si>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</si>
  <si>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</si>
  <si>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</si>
  <si>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</si>
  <si>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</si>
  <si>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</si>
  <si>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</si>
  <si>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</si>
  <si>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</si>
  <si>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</si>
  <si>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</si>
  <si>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</si>
  <si>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</si>
  <si>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</si>
  <si>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</si>
  <si>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</si>
  <si>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</si>
  <si>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</si>
  <si>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</si>
  <si>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</si>
  <si>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</si>
  <si>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</si>
  <si>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</si>
  <si>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</si>
  <si>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</si>
  <si>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</si>
  <si>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</si>
  <si>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</si>
  <si>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</si>
  <si>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</si>
  <si>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</si>
  <si>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</si>
  <si>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</si>
  <si>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</si>
  <si>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</si>
  <si>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</si>
  <si>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</si>
  <si>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</si>
  <si>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</si>
  <si>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</si>
  <si>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</si>
  <si>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</si>
  <si>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</si>
  <si>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</si>
  <si>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</si>
  <si>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</si>
  <si>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</si>
  <si>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</si>
  <si>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</si>
  <si>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</si>
  <si>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</si>
  <si>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</si>
  <si>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</si>
  <si>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</si>
  <si>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</si>
  <si>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</si>
  <si>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</si>
  <si>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</si>
  <si>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</si>
  <si>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</si>
  <si>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</si>
  <si>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</si>
  <si>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</si>
  <si>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</si>
  <si>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</si>
  <si>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</si>
  <si>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</si>
  <si>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</si>
  <si>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</si>
  <si>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</si>
  <si>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</si>
  <si>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</si>
  <si>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</si>
  <si>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</si>
  <si>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</si>
  <si>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</si>
  <si>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</si>
  <si>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</si>
  <si>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</si>
  <si>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</si>
  <si>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</si>
  <si>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</si>
  <si>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</si>
  <si>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</si>
  <si>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</si>
  <si>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</si>
  <si>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</si>
  <si>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</si>
  <si>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</si>
  <si>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</si>
  <si>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</si>
  <si>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</si>
  <si>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</si>
  <si>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</si>
  <si>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</si>
  <si>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</si>
  <si>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</si>
  <si>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</si>
  <si>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</si>
  <si>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</si>
  <si>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</si>
  <si>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</si>
  <si>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</si>
  <si>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</si>
  <si>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</si>
  <si>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</si>
  <si>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</si>
  <si>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</si>
  <si>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</si>
  <si>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</si>
  <si>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</si>
  <si>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</si>
  <si>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</si>
  <si>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</si>
  <si>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</si>
  <si>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</si>
  <si>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</si>
  <si>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</si>
  <si>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</si>
  <si>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</si>
  <si>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</si>
  <si>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</si>
  <si>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</si>
  <si>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</si>
  <si>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</si>
  <si>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</si>
  <si>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</si>
  <si>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</si>
  <si>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</si>
  <si>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</si>
  <si>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</si>
  <si>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</si>
  <si>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</si>
  <si>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</si>
  <si>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</si>
  <si>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</si>
  <si>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</si>
  <si>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</si>
  <si>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</si>
  <si>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</si>
  <si>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</si>
  <si>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</si>
  <si>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</si>
  <si>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</si>
  <si>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</si>
  <si>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</si>
  <si>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</si>
  <si>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</si>
  <si>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</si>
  <si>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</si>
  <si>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</si>
  <si>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</si>
  <si>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</si>
  <si>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</si>
  <si>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</si>
  <si>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</si>
  <si>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</si>
  <si>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</si>
  <si>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</si>
  <si>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</si>
  <si>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</si>
  <si>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</si>
  <si>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</si>
  <si>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</si>
  <si>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</si>
  <si>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</si>
  <si>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</si>
  <si>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</si>
  <si>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</si>
  <si>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</si>
  <si>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</si>
  <si>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</si>
  <si>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</si>
  <si>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</si>
  <si>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</si>
  <si>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</si>
  <si>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</si>
  <si>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</si>
  <si>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</si>
  <si>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</si>
  <si>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</si>
  <si>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</si>
  <si>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</si>
  <si>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</si>
  <si>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</si>
  <si>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</si>
  <si>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</si>
  <si>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</si>
  <si>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</si>
  <si>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</si>
  <si>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</si>
  <si>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</si>
  <si>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</si>
  <si>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</si>
  <si>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</si>
  <si>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</si>
  <si>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</si>
  <si>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</si>
  <si>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</si>
  <si>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</si>
  <si>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</si>
  <si>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</si>
  <si>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</si>
  <si>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</si>
  <si>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</si>
  <si>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</si>
  <si>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</si>
  <si>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</si>
  <si>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</si>
  <si>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</si>
  <si>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</si>
  <si>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</si>
  <si>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</si>
  <si>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</si>
  <si>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</si>
  <si>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</si>
  <si>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</si>
  <si>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</si>
  <si>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</si>
  <si>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</si>
  <si>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</si>
  <si>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</si>
  <si>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</si>
  <si>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</si>
  <si>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</si>
  <si>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</si>
  <si>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</si>
  <si>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</si>
  <si>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</si>
  <si>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</si>
  <si>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</si>
  <si>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</si>
  <si>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</si>
  <si>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</si>
  <si>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</si>
  <si>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</si>
  <si>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</si>
  <si>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</si>
  <si>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</si>
  <si>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</si>
  <si>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</si>
  <si>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</si>
  <si>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</si>
  <si>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</si>
  <si>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</si>
  <si>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</si>
  <si>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</si>
  <si>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</si>
  <si>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</si>
  <si>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</si>
  <si>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</si>
  <si>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</si>
  <si>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</si>
  <si>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</si>
  <si>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</si>
  <si>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</si>
  <si>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</si>
  <si>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</si>
  <si>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</si>
  <si>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</si>
  <si>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</si>
  <si>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</si>
  <si>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</si>
  <si>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</si>
  <si>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</si>
  <si>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</si>
  <si>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</si>
  <si>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</si>
  <si>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</si>
  <si>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</si>
  <si>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</si>
  <si>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</si>
  <si>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</si>
  <si>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</si>
  <si>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</si>
  <si>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</si>
  <si>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</si>
  <si>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</si>
  <si>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</si>
  <si>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</si>
  <si>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</si>
  <si>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</si>
  <si>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</si>
  <si>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</si>
  <si>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</si>
  <si>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</si>
  <si>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</si>
  <si>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</si>
  <si>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</si>
  <si>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</si>
  <si>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</si>
  <si>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</si>
  <si>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</si>
  <si>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</si>
  <si>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</si>
  <si>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</si>
  <si>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</si>
  <si>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</si>
  <si>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</si>
  <si>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</si>
  <si>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</si>
  <si>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</si>
  <si>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</si>
  <si>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</si>
  <si>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</si>
  <si>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</si>
  <si>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</si>
  <si>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</si>
  <si>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</si>
  <si>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</si>
  <si>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</si>
  <si>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</si>
  <si>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</si>
  <si>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</si>
  <si>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</si>
  <si>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</si>
  <si>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</si>
  <si>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</si>
  <si>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</si>
  <si>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</si>
  <si>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</si>
  <si>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</si>
  <si>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</si>
  <si>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</si>
  <si>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</si>
  <si>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</si>
  <si>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</si>
  <si>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</si>
  <si>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</si>
  <si>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</si>
  <si>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</si>
  <si>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</si>
  <si>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</si>
  <si>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</si>
  <si>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</si>
  <si>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</si>
  <si>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</si>
  <si>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</si>
  <si>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</si>
  <si>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</si>
  <si>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</si>
  <si>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</si>
  <si>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</si>
  <si>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</si>
  <si>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</si>
  <si>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</si>
  <si>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</si>
  <si>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</si>
  <si>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</si>
  <si>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</si>
  <si>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</si>
  <si>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</si>
  <si>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</si>
  <si>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</si>
  <si>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</si>
  <si>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</si>
  <si>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</si>
  <si>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</si>
  <si>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</si>
  <si>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</si>
  <si>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</si>
  <si>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</si>
  <si>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</si>
  <si>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</si>
  <si>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</si>
  <si>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</si>
  <si>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</si>
  <si>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</si>
  <si>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</si>
  <si>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</si>
  <si>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</si>
  <si>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</si>
  <si>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</si>
  <si>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</si>
  <si>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</si>
  <si>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</si>
  <si>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</si>
  <si>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</si>
  <si>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</si>
  <si>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</si>
  <si>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</si>
  <si>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</si>
  <si>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</si>
  <si>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</si>
  <si>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</si>
  <si>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</si>
  <si>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</si>
  <si>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</si>
  <si>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</si>
  <si>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</si>
  <si>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</si>
  <si>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</si>
  <si>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</si>
  <si>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</si>
  <si>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</si>
  <si>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</si>
  <si>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</si>
  <si>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</si>
  <si>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</si>
  <si>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</si>
  <si>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</si>
  <si>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</si>
  <si>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</si>
  <si>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</si>
  <si>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</si>
  <si>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</si>
  <si>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</si>
  <si>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</si>
  <si>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</si>
  <si>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</si>
  <si>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</si>
  <si>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</si>
  <si>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</si>
  <si>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</si>
  <si>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</si>
  <si>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</si>
  <si>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</si>
  <si>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</si>
  <si>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</si>
  <si>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</si>
  <si>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</si>
  <si>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</si>
  <si>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</si>
  <si>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</si>
  <si>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</si>
  <si>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</si>
  <si>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</si>
  <si>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</si>
  <si>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</si>
  <si>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</si>
  <si>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</si>
  <si>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</si>
  <si>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</si>
  <si>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</si>
  <si>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</si>
  <si>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</si>
  <si>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</si>
  <si>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</si>
  <si>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</si>
  <si>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</si>
  <si>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</si>
  <si>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</si>
  <si>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</si>
  <si>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</si>
  <si>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</si>
  <si>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</si>
  <si>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</si>
  <si>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</si>
  <si>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</si>
  <si>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</si>
  <si>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</si>
  <si>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</si>
  <si>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</si>
  <si>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</si>
  <si>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</si>
  <si>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</si>
  <si>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</si>
  <si>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</si>
  <si>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</si>
  <si>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</si>
  <si>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</si>
  <si>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</si>
  <si>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</si>
  <si>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</si>
  <si>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</si>
  <si>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</si>
  <si>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</si>
  <si>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</si>
  <si>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</si>
  <si>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</si>
  <si>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</si>
  <si>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</si>
  <si>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</si>
  <si>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</si>
  <si>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</si>
  <si>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</si>
  <si>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</si>
  <si>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</si>
  <si>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</si>
  <si>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</si>
  <si>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</si>
  <si>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</si>
  <si>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</si>
  <si>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</si>
  <si>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</si>
  <si>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</si>
  <si>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</si>
  <si>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</si>
  <si>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</si>
  <si>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</si>
  <si>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</si>
  <si>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</si>
  <si>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</si>
  <si>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</si>
  <si>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</si>
  <si>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</si>
  <si>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</si>
  <si>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</si>
  <si>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</si>
  <si>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</si>
  <si>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</si>
  <si>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</si>
  <si>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</si>
  <si>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</si>
  <si>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</si>
  <si>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</si>
  <si>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</si>
  <si>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</si>
  <si>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</si>
  <si>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</si>
  <si>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</si>
  <si>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</si>
  <si>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</si>
  <si>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</si>
  <si>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</si>
  <si>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</si>
  <si>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</si>
  <si>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</si>
  <si>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</si>
  <si>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</si>
  <si>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</si>
  <si>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</si>
  <si>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</si>
  <si>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</si>
  <si>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</si>
  <si>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</si>
  <si>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</si>
  <si>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</si>
  <si>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</si>
  <si>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</si>
  <si>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</si>
  <si>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</si>
  <si>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</si>
  <si>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</si>
  <si>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</si>
  <si>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</si>
  <si>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</si>
  <si>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</si>
  <si>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</si>
  <si>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</si>
  <si>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</si>
  <si>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</si>
  <si>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</si>
  <si>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</si>
  <si>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</si>
  <si>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</si>
  <si>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</si>
  <si>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</si>
  <si>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</si>
  <si>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</si>
  <si>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</si>
  <si>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</si>
  <si>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</si>
  <si>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</si>
  <si>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</si>
  <si>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</si>
  <si>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</si>
  <si>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</si>
  <si>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</si>
  <si>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</si>
  <si>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</si>
  <si>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</si>
  <si>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</si>
  <si>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</si>
  <si>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</si>
  <si>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</si>
  <si>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</si>
  <si>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</si>
  <si>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</si>
  <si>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</si>
  <si>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</si>
  <si>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</si>
  <si>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</si>
  <si>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</si>
  <si>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</si>
  <si>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</si>
  <si>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</si>
  <si>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</si>
  <si>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</si>
  <si>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</si>
  <si>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</si>
  <si>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</si>
  <si>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</si>
  <si>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</si>
  <si>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</si>
  <si>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</si>
  <si>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</si>
  <si>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</si>
  <si>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</si>
  <si>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</si>
  <si>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</si>
  <si>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</si>
  <si>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</si>
  <si>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</si>
  <si>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</si>
  <si>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</si>
  <si>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</si>
  <si>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</si>
  <si>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</si>
  <si>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</si>
  <si>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</si>
  <si>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</si>
  <si>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</si>
  <si>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</si>
  <si>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</si>
  <si>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</si>
  <si>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</si>
  <si>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</si>
  <si>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</si>
  <si>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</si>
  <si>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</si>
  <si>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</si>
  <si>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</si>
  <si>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</si>
  <si>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</si>
  <si>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</si>
  <si>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</si>
  <si>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</si>
  <si>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</si>
  <si>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</si>
  <si>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</si>
  <si>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</si>
  <si>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</si>
  <si>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</si>
  <si>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</si>
  <si>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</si>
  <si>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</si>
  <si>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</si>
  <si>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</si>
  <si>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</si>
  <si>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</si>
  <si>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</si>
  <si>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</si>
  <si>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</si>
  <si>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</si>
  <si>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</si>
  <si>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</si>
  <si>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</si>
  <si>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</si>
  <si>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</si>
  <si>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</si>
  <si>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</si>
  <si>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</si>
  <si>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</si>
  <si>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</si>
  <si>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</si>
  <si>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</si>
  <si>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</si>
  <si>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</si>
  <si>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</si>
  <si>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</si>
  <si>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</si>
  <si>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</si>
  <si>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</si>
  <si>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</si>
  <si>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</si>
  <si>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</si>
  <si>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</si>
  <si>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</si>
  <si>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</si>
  <si>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</si>
  <si>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</si>
  <si>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</si>
  <si>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</si>
  <si>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</si>
  <si>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</si>
  <si>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</si>
  <si>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</si>
  <si>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</si>
  <si>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</si>
  <si>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</si>
  <si>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</si>
  <si>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</si>
  <si>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</si>
  <si>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</si>
  <si>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</si>
  <si>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</si>
  <si>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</si>
  <si>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</si>
  <si>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</si>
  <si>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</si>
  <si>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</si>
  <si>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</si>
  <si>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</si>
  <si>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</si>
  <si>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</si>
  <si>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</si>
  <si>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</si>
  <si>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</si>
  <si>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</si>
  <si>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</si>
  <si>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</si>
  <si>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</si>
  <si>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</si>
  <si>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</si>
  <si>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</si>
  <si>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</si>
  <si>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</si>
  <si>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</si>
  <si>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</si>
  <si>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</si>
  <si>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</si>
  <si>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</si>
  <si>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</si>
  <si>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</si>
  <si>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</si>
  <si>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</si>
  <si>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</si>
  <si>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</si>
  <si>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</si>
  <si>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</si>
  <si>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</si>
  <si>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</si>
  <si>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</si>
  <si>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</si>
  <si>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</si>
  <si>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</si>
  <si>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</si>
  <si>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</si>
  <si>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</si>
  <si>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</si>
  <si>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</si>
  <si>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</si>
  <si>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</si>
  <si>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</si>
  <si>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</si>
  <si>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</si>
  <si>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</si>
  <si>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</si>
  <si>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</si>
  <si>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</si>
  <si>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</si>
  <si>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</si>
  <si>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</si>
  <si>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</si>
  <si>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</si>
  <si>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</si>
  <si>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</si>
  <si>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</si>
  <si>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</si>
  <si>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</si>
  <si>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</si>
  <si>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</si>
  <si>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</si>
  <si>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</si>
  <si>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</si>
  <si>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</si>
  <si>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</si>
  <si>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</si>
  <si>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</si>
  <si>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</si>
  <si>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</si>
  <si>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</si>
  <si>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</si>
  <si>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</si>
  <si>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</si>
  <si>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</si>
  <si>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</si>
  <si>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</si>
  <si>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</si>
  <si>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</si>
  <si>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</si>
  <si>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</si>
  <si>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</si>
  <si>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</si>
  <si>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</si>
  <si>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</si>
  <si>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</si>
  <si>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</si>
  <si>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</si>
  <si>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</si>
  <si>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</si>
  <si>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</si>
  <si>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</si>
  <si>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</si>
  <si>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</si>
  <si>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</si>
  <si>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</si>
  <si>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</si>
  <si>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</si>
  <si>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</si>
  <si>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</si>
  <si>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</si>
  <si>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</si>
  <si>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</si>
  <si>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</si>
  <si>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</si>
  <si>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</si>
  <si>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</si>
  <si>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</si>
  <si>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</si>
  <si>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</si>
  <si>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</si>
  <si>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</si>
  <si>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</si>
  <si>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</si>
  <si>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</si>
  <si>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</si>
  <si>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</si>
  <si>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</si>
  <si>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</si>
  <si>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</si>
  <si>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</si>
  <si>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</si>
  <si>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</si>
  <si>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</si>
  <si>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</si>
  <si>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</si>
  <si>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</si>
  <si>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</si>
  <si>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</si>
  <si>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</si>
  <si>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</si>
  <si>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</si>
  <si>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</si>
  <si>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</si>
  <si>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</si>
  <si>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</si>
  <si>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</si>
  <si>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</si>
  <si>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</si>
  <si>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</si>
  <si>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</si>
  <si>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</si>
  <si>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</si>
  <si>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</si>
  <si>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</si>
  <si>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</si>
  <si>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</si>
  <si>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</si>
  <si>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</si>
  <si>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</si>
  <si>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</si>
  <si>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</si>
  <si>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</si>
  <si>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</si>
  <si>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</si>
  <si>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</si>
  <si>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</si>
  <si>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</si>
  <si>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</si>
  <si>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</si>
  <si>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</si>
  <si>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</si>
  <si>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</si>
  <si>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</si>
  <si>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</si>
  <si>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</si>
  <si>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</si>
  <si>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</si>
  <si>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</si>
  <si>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</si>
  <si>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</si>
  <si>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</si>
  <si>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</si>
  <si>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</si>
  <si>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</si>
  <si>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</si>
  <si>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</si>
  <si>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</si>
  <si>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</si>
  <si>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</si>
  <si>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</si>
  <si>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</si>
  <si>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</si>
  <si>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</si>
  <si>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</si>
  <si>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</si>
  <si>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</si>
  <si>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</si>
  <si>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</si>
  <si>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</si>
  <si>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</si>
  <si>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</si>
  <si>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</si>
  <si>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</si>
  <si>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</si>
  <si>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</si>
  <si>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</si>
  <si>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</si>
  <si>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</si>
  <si>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</si>
  <si>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</si>
  <si>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</si>
  <si>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</si>
  <si>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</si>
  <si>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</si>
  <si>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</si>
  <si>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</si>
  <si>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</si>
  <si>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</si>
  <si>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</si>
  <si>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</si>
  <si>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</si>
  <si>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</si>
  <si>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</si>
  <si>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</si>
  <si>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</si>
  <si>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</si>
  <si>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</si>
  <si>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</si>
  <si>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</si>
  <si>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</si>
  <si>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</si>
  <si>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</si>
  <si>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</si>
  <si>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</si>
  <si>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</si>
  <si>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</si>
  <si>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</si>
  <si>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</si>
  <si>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</si>
  <si>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</si>
  <si>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</si>
  <si>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</si>
  <si>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</si>
  <si>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</si>
  <si>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</si>
  <si>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</si>
  <si>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</si>
  <si>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</si>
  <si>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</si>
  <si>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</si>
  <si>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</si>
  <si>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</si>
  <si>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</si>
  <si>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</si>
  <si>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</si>
  <si>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</si>
  <si>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</si>
  <si>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</si>
  <si>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</si>
  <si>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</si>
  <si>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</si>
  <si>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</si>
  <si>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</si>
  <si>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</si>
  <si>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</si>
  <si>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</si>
  <si>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</si>
  <si>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</si>
  <si>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</si>
  <si>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</si>
  <si>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</si>
  <si>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</si>
  <si>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</si>
  <si>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</si>
  <si>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</si>
  <si>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</si>
  <si>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</si>
  <si>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</si>
  <si>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</si>
  <si>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</si>
  <si>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</si>
  <si>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</si>
  <si>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</si>
  <si>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</si>
  <si>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</si>
  <si>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</si>
  <si>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</si>
  <si>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</si>
  <si>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</si>
  <si>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</si>
  <si>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</si>
  <si>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</si>
  <si>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</si>
  <si>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</si>
  <si>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</si>
  <si>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</si>
  <si>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</si>
  <si>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</si>
  <si>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</si>
  <si>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</si>
  <si>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</si>
  <si>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</si>
  <si>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</si>
  <si>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</si>
  <si>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</si>
  <si>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</si>
  <si>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</si>
  <si>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</si>
  <si>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</si>
  <si>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</si>
  <si>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</si>
  <si>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</si>
  <si>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</si>
  <si>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</si>
  <si>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</si>
  <si>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</si>
  <si>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</si>
  <si>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</si>
  <si>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</si>
  <si>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</si>
  <si>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</si>
  <si>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</si>
  <si>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</si>
  <si>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</si>
  <si>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</si>
  <si>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</si>
  <si>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</si>
  <si>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</si>
  <si>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</si>
  <si>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</si>
  <si>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</si>
  <si>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</si>
  <si>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</si>
  <si>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</si>
  <si>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</si>
  <si>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</si>
  <si>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</si>
  <si>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</si>
  <si>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</si>
  <si>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</si>
  <si>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</si>
  <si>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</si>
  <si>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</si>
  <si>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</si>
  <si>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</si>
  <si>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</si>
  <si>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</si>
  <si>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</si>
  <si>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</si>
  <si>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</si>
  <si>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</si>
  <si>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</si>
  <si>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</si>
  <si>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</si>
  <si>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</si>
  <si>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</si>
  <si>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</si>
  <si>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</si>
  <si>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</si>
  <si>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</si>
  <si>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</si>
  <si>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</si>
  <si>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</si>
  <si>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</si>
  <si>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</si>
  <si>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</si>
  <si>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</si>
  <si>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</si>
  <si>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</si>
  <si>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</si>
  <si>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</si>
  <si>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</si>
  <si>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</si>
  <si>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</si>
  <si>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</si>
  <si>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</si>
  <si>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</si>
  <si>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</si>
  <si>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</si>
  <si>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</si>
  <si>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</si>
  <si>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</si>
  <si>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</si>
  <si>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</si>
  <si>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</si>
  <si>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</si>
  <si>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</si>
  <si>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</si>
  <si>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</si>
  <si>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</si>
  <si>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</si>
  <si>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</si>
  <si>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</si>
  <si>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</si>
  <si>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</si>
  <si>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</si>
  <si>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</si>
  <si>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</si>
  <si>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</si>
  <si>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</si>
  <si>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</si>
  <si>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</si>
  <si>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</si>
  <si>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</si>
  <si>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</si>
  <si>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</si>
  <si>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</si>
  <si>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</si>
  <si>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</si>
  <si>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</si>
  <si>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</si>
  <si>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</si>
  <si>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</si>
  <si>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</si>
  <si>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</si>
  <si>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</si>
  <si>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</si>
  <si>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</si>
  <si>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</si>
  <si>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</si>
  <si>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</si>
  <si>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</si>
  <si>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</si>
  <si>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</si>
  <si>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</si>
  <si>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</si>
  <si>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</si>
  <si>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</si>
  <si>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</si>
  <si>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</si>
  <si>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</si>
  <si>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</si>
  <si>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</si>
  <si>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</si>
  <si>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</si>
  <si>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</si>
  <si>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</si>
  <si>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</si>
  <si>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</si>
  <si>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</si>
  <si>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</si>
  <si>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</si>
  <si>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</si>
  <si>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</si>
  <si>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</si>
  <si>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</si>
  <si>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</si>
  <si>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</si>
  <si>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</si>
  <si>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</si>
  <si>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</si>
  <si>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</si>
  <si>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</si>
  <si>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</si>
  <si>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</si>
  <si>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</si>
  <si>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</si>
  <si>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</si>
  <si>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</si>
  <si>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</si>
  <si>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</si>
  <si>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</si>
  <si>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</si>
  <si>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</si>
  <si>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</si>
  <si>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</si>
  <si>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</si>
  <si>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</si>
  <si>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</si>
  <si>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</si>
  <si>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</si>
  <si>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</si>
  <si>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</si>
  <si>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</si>
  <si>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</si>
  <si>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</si>
  <si>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</si>
  <si>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</si>
  <si>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</si>
  <si>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</si>
  <si>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</si>
  <si>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</si>
  <si>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</si>
  <si>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</si>
  <si>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</si>
  <si>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</si>
  <si>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</si>
  <si>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</si>
  <si>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</si>
  <si>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</si>
  <si>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</si>
  <si>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</si>
  <si>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</si>
  <si>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</si>
  <si>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</si>
  <si>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</si>
  <si>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</si>
  <si>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</si>
  <si>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</si>
  <si>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</si>
  <si>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</si>
  <si>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</si>
  <si>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</si>
  <si>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</si>
  <si>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</si>
  <si>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</si>
  <si>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</si>
  <si>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</si>
  <si>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</si>
  <si>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</si>
  <si>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</si>
  <si>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</si>
  <si>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</si>
  <si>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</si>
  <si>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</si>
  <si>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</si>
  <si>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</si>
  <si>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</si>
  <si>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</si>
  <si>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</si>
  <si>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</si>
  <si>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</si>
  <si>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</si>
  <si>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</si>
  <si>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</si>
  <si>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</si>
  <si>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</si>
  <si>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</si>
  <si>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</si>
  <si>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</si>
  <si>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</si>
  <si>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</si>
  <si>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</si>
  <si>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</si>
  <si>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</si>
  <si>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</si>
  <si>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</si>
  <si>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</si>
  <si>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</si>
  <si>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</si>
  <si>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</si>
  <si>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</si>
  <si>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</si>
  <si>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</si>
  <si>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</si>
  <si>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</si>
  <si>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</si>
  <si>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</si>
  <si>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</si>
  <si>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</si>
  <si>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</si>
  <si>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</si>
  <si>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</si>
  <si>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</si>
  <si>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</si>
  <si>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</si>
  <si>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</si>
  <si>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</si>
  <si>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</si>
  <si>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</si>
  <si>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</si>
  <si>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</si>
  <si>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</si>
  <si>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</si>
  <si>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</si>
  <si>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</si>
  <si>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</si>
  <si>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</si>
  <si>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</si>
  <si>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</si>
  <si>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</si>
  <si>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</si>
  <si>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</si>
  <si>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</si>
  <si>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</si>
  <si>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</si>
  <si>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</si>
  <si>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</si>
  <si>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</si>
  <si>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</si>
  <si>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</si>
  <si>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</si>
  <si>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</si>
  <si>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</si>
  <si>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</si>
  <si>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</si>
  <si>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</si>
  <si>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</si>
  <si>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</si>
  <si>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</si>
  <si>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</si>
  <si>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</si>
  <si>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</si>
  <si>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</si>
  <si>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</si>
  <si>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</si>
  <si>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</si>
  <si>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</si>
  <si>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</si>
  <si>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</si>
  <si>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</si>
  <si>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</si>
  <si>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</si>
  <si>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</si>
  <si>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</si>
  <si>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</si>
  <si>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</si>
  <si>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</si>
  <si>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</si>
  <si>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</si>
  <si>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</si>
  <si>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</si>
  <si>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</si>
  <si>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</si>
  <si>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</si>
  <si>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</si>
  <si>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</si>
  <si>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</si>
  <si>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</si>
  <si>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</si>
  <si>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</si>
  <si>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</si>
  <si>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</si>
  <si>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</si>
  <si>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</si>
  <si>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</si>
  <si>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</si>
  <si>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</si>
  <si>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</si>
  <si>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</si>
  <si>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</si>
  <si>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</si>
  <si>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</si>
  <si>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</si>
  <si>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</si>
  <si>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</si>
  <si>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</si>
  <si>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</si>
  <si>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</si>
  <si>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</si>
  <si>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</si>
  <si>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</si>
  <si>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</si>
  <si>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</si>
  <si>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</si>
  <si>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</si>
  <si>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</si>
  <si>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</si>
  <si>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</si>
  <si>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</si>
  <si>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</si>
  <si>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</si>
  <si>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</si>
  <si>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</si>
  <si>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</si>
  <si>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</si>
  <si>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</si>
  <si>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</si>
  <si>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</si>
  <si>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</si>
  <si>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</si>
  <si>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</si>
  <si>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</si>
  <si>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</si>
  <si>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</si>
  <si>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</si>
  <si>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</si>
  <si>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</si>
  <si>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</si>
  <si>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</si>
  <si>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</si>
  <si>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</si>
  <si>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</si>
  <si>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</si>
  <si>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</si>
  <si>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</si>
  <si>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</si>
  <si>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</si>
  <si>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</si>
  <si>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</si>
  <si>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</si>
  <si>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</si>
  <si>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</si>
  <si>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</si>
  <si>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</si>
  <si>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</si>
  <si>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</si>
  <si>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</si>
  <si>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</si>
  <si>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</si>
  <si>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</si>
  <si>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</si>
  <si>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</si>
  <si>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</si>
  <si>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</si>
  <si>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</si>
  <si>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</si>
  <si>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</si>
  <si>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</si>
  <si>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</si>
  <si>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</si>
  <si>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</si>
  <si>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</si>
  <si>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</si>
  <si>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</si>
  <si>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</si>
  <si>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</si>
  <si>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</si>
  <si>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</si>
  <si>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</si>
  <si>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</si>
  <si>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</si>
  <si>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</si>
  <si>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</si>
  <si>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</si>
  <si>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</si>
  <si>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</si>
  <si>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</si>
  <si>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</si>
  <si>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</si>
  <si>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</si>
  <si>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</si>
  <si>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</si>
  <si>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</si>
  <si>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</si>
  <si>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</si>
  <si>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</si>
  <si>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</si>
  <si>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</si>
  <si>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</si>
  <si>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</si>
  <si>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</si>
  <si>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</si>
  <si>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</si>
  <si>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</si>
  <si>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</si>
  <si>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</si>
  <si>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</si>
  <si>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</si>
  <si>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</si>
  <si>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</si>
  <si>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</si>
  <si>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</si>
  <si>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</si>
  <si>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</si>
  <si>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</si>
  <si>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</si>
  <si>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</si>
  <si>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</si>
  <si>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</si>
  <si>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</si>
  <si>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</si>
  <si>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</si>
  <si>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</si>
  <si>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</si>
  <si>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</si>
  <si>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</si>
  <si>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</si>
  <si>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</si>
  <si>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</si>
  <si>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</si>
  <si>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</si>
  <si>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</si>
  <si>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</si>
  <si>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</si>
  <si>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</si>
  <si>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</si>
  <si>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</si>
  <si>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</si>
  <si>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</si>
  <si>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</si>
  <si>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</si>
  <si>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</si>
  <si>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</si>
  <si>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</si>
  <si>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</si>
  <si>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</si>
  <si>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</si>
  <si>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</si>
  <si>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</si>
  <si>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</si>
  <si>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</si>
  <si>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</si>
  <si>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</si>
  <si>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</si>
  <si>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</si>
  <si>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</si>
  <si>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</si>
  <si>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</si>
  <si>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</si>
  <si>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</si>
  <si>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</si>
  <si>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</si>
  <si>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</si>
  <si>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</si>
  <si>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</si>
  <si>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</si>
  <si>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</si>
  <si>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</si>
  <si>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</si>
  <si>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</si>
  <si>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</si>
  <si>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</si>
  <si>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</si>
  <si>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</si>
  <si>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</si>
  <si>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</si>
  <si>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</si>
  <si>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</si>
  <si>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</si>
  <si>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</si>
  <si>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</si>
  <si>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</si>
  <si>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</si>
  <si>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</si>
  <si>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</si>
  <si>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</si>
  <si>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</si>
  <si>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</si>
  <si>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</si>
  <si>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</si>
  <si>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</si>
  <si>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</si>
  <si>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</si>
  <si>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</si>
  <si>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</si>
  <si>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</si>
  <si>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</si>
  <si>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</si>
  <si>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</si>
  <si>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</si>
  <si>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</si>
  <si>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</si>
  <si>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</si>
  <si>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</si>
  <si>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</si>
  <si>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</si>
  <si>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</si>
  <si>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</si>
  <si>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</si>
  <si>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</si>
  <si>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</si>
  <si>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</si>
  <si>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</si>
  <si>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</si>
  <si>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</si>
  <si>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</si>
  <si>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</si>
  <si>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</si>
  <si>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</si>
  <si>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</si>
  <si>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</si>
  <si>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</si>
  <si>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</si>
  <si>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</si>
  <si>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</si>
  <si>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</si>
  <si>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</si>
  <si>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</si>
  <si>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</si>
  <si>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</si>
  <si>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</si>
  <si>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</si>
  <si>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</si>
  <si>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</si>
  <si>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</si>
  <si>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</si>
  <si>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</si>
  <si>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</si>
  <si>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</si>
  <si>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</si>
  <si>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</si>
  <si>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</si>
  <si>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</si>
  <si>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</si>
  <si>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</si>
  <si>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</si>
  <si>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</si>
  <si>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</si>
  <si>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</si>
  <si>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</si>
  <si>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</si>
  <si>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</si>
  <si>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</si>
  <si>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</si>
  <si>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</si>
  <si>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</si>
  <si>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</si>
  <si>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</si>
  <si>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</si>
  <si>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</si>
  <si>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</si>
  <si>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</si>
  <si>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</si>
  <si>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</si>
  <si>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</si>
  <si>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</si>
  <si>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</si>
  <si>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</si>
  <si>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</si>
  <si>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</si>
  <si>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</si>
  <si>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</si>
  <si>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</si>
  <si>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</si>
  <si>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</si>
  <si>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</si>
  <si>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</si>
  <si>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</si>
  <si>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</si>
  <si>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</si>
  <si>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</si>
  <si>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</si>
  <si>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</si>
  <si>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</si>
  <si>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</si>
  <si>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</si>
  <si>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</si>
  <si>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</si>
  <si>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</si>
  <si>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</si>
  <si>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</si>
  <si>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</si>
  <si>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</si>
  <si>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</si>
  <si>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</si>
  <si>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</si>
  <si>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</si>
  <si>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</si>
  <si>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</si>
  <si>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</si>
  <si>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</si>
  <si>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</si>
  <si>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</si>
  <si>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</si>
  <si>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</si>
  <si>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</si>
  <si>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</si>
  <si>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</si>
  <si>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</si>
  <si>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</si>
  <si>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</si>
  <si>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</si>
  <si>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</si>
  <si>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</si>
  <si>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</si>
  <si>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</si>
  <si>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</si>
  <si>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</si>
  <si>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</si>
  <si>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</si>
  <si>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</si>
  <si>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</si>
  <si>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</si>
  <si>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</si>
  <si>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</si>
  <si>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</si>
  <si>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</si>
  <si>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</si>
  <si>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</si>
  <si>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</si>
  <si>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</si>
  <si>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</si>
  <si>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</si>
  <si>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</si>
  <si>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</si>
  <si>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</si>
  <si>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</si>
  <si>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</si>
  <si>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</si>
  <si>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</si>
  <si>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</si>
  <si>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</si>
  <si>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</si>
  <si>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</si>
  <si>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</si>
  <si>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</si>
  <si>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</si>
  <si>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</si>
  <si>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</si>
  <si>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</si>
  <si>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</si>
  <si>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</si>
  <si>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</si>
  <si>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</si>
  <si>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</si>
  <si>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</si>
  <si>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</si>
  <si>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</si>
  <si>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</si>
  <si>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</si>
  <si>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</si>
  <si>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</si>
  <si>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</si>
  <si>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</si>
  <si>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</si>
  <si>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</si>
  <si>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</si>
  <si>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</si>
  <si>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</si>
  <si>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</si>
  <si>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</si>
  <si>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</si>
  <si>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</si>
  <si>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</si>
  <si>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</si>
  <si>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</si>
  <si>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</si>
  <si>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</si>
  <si>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</si>
  <si>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</si>
  <si>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</si>
  <si>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</si>
  <si>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</si>
  <si>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</si>
  <si>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</si>
  <si>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</si>
  <si>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</si>
  <si>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</si>
  <si>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</si>
  <si>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</si>
  <si>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</si>
  <si>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</si>
  <si>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</si>
  <si>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</si>
  <si>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</si>
  <si>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</si>
  <si>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</si>
  <si>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</si>
  <si>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</si>
  <si>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</si>
  <si>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</si>
  <si>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</si>
  <si>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</si>
  <si>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</si>
  <si>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</si>
  <si>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</si>
  <si>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</si>
  <si>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</si>
  <si>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</si>
  <si>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</si>
  <si>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</si>
  <si>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</si>
  <si>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</si>
  <si>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</si>
  <si>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</si>
  <si>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</si>
  <si>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</si>
  <si>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</si>
  <si>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</si>
  <si>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</si>
  <si>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</si>
  <si>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</si>
  <si>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</si>
  <si>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</si>
  <si>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</si>
  <si>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</si>
  <si>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</si>
  <si>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</si>
  <si>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</si>
  <si>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</si>
  <si>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</si>
  <si>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</si>
  <si>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</si>
  <si>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</si>
  <si>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</si>
  <si>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</si>
  <si>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</si>
  <si>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</si>
  <si>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</si>
  <si>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</si>
  <si>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</si>
  <si>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</si>
  <si>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</si>
  <si>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</si>
  <si>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</si>
  <si>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</si>
  <si>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</si>
  <si>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</si>
  <si>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</si>
  <si>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</si>
  <si>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</si>
  <si>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</si>
  <si>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</si>
  <si>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</si>
  <si>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</si>
  <si>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</si>
  <si>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</si>
  <si>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</si>
  <si>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</si>
  <si>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</si>
  <si>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</si>
  <si>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</si>
  <si>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</si>
  <si>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</si>
  <si>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</si>
  <si>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</si>
  <si>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</si>
  <si>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</si>
  <si>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</si>
  <si>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</si>
  <si>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</si>
  <si>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</si>
  <si>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</si>
  <si>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</si>
  <si>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</si>
  <si>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</si>
  <si>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</si>
  <si>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</si>
  <si>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</si>
  <si>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</si>
  <si>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</si>
  <si>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</si>
  <si>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</si>
  <si>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</si>
  <si>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</si>
  <si>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</si>
  <si>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</si>
  <si>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</si>
  <si>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</si>
  <si>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</si>
  <si>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</si>
  <si>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</si>
  <si>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</si>
  <si>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</si>
  <si>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</si>
  <si>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</si>
  <si>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</si>
  <si>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</si>
  <si>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</si>
  <si>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</si>
  <si>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</si>
  <si>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</si>
  <si>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</si>
  <si>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</si>
  <si>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</si>
  <si>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</si>
  <si>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</si>
  <si>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</si>
  <si>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</si>
  <si>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</si>
  <si>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</si>
  <si>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</si>
  <si>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</si>
  <si>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</si>
  <si>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</si>
  <si>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</si>
  <si>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</si>
  <si>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</si>
  <si>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</si>
  <si>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</si>
  <si>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</si>
  <si>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</si>
  <si>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</si>
  <si>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</si>
  <si>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</si>
  <si>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</si>
  <si>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</si>
  <si>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</si>
  <si>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</si>
  <si>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</si>
  <si>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</si>
  <si>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</si>
  <si>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</si>
  <si>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</si>
  <si>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</si>
  <si>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</si>
  <si>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</si>
  <si>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</si>
  <si>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</si>
  <si>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</si>
  <si>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</si>
  <si>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</si>
  <si>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</si>
  <si>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</si>
  <si>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</si>
  <si>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</si>
  <si>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</si>
  <si>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</si>
  <si>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</si>
  <si>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</si>
  <si>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</si>
  <si>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</si>
  <si>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</si>
  <si>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</si>
  <si>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</si>
  <si>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</si>
  <si>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</si>
  <si>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</si>
  <si>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</si>
  <si>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</si>
  <si>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</si>
  <si>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</si>
  <si>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</si>
  <si>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</si>
  <si>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</si>
  <si>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</si>
  <si>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</si>
  <si>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</si>
  <si>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</si>
  <si>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</si>
  <si>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</si>
  <si>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</si>
  <si>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</si>
  <si>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</si>
  <si>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</si>
  <si>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</si>
  <si>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</si>
  <si>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</si>
  <si>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</si>
  <si>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</si>
  <si>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</si>
  <si>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</si>
  <si>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</si>
  <si>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</si>
  <si>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</si>
  <si>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</si>
  <si>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</si>
  <si>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</si>
  <si>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</si>
  <si>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</si>
  <si>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</si>
  <si>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</si>
  <si>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</si>
  <si>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</si>
  <si>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</si>
  <si>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</si>
  <si>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</si>
  <si>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</si>
  <si>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</si>
  <si>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</si>
  <si>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</si>
  <si>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</si>
  <si>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</si>
  <si>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</si>
  <si>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</si>
  <si>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</si>
  <si>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</si>
  <si>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</si>
  <si>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</si>
  <si>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</si>
  <si>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</si>
  <si>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</si>
  <si>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</si>
  <si>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</si>
  <si>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</si>
  <si>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</si>
  <si>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</si>
  <si>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</si>
  <si>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</si>
  <si>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</si>
  <si>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</si>
  <si>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</si>
  <si>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</si>
  <si>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</si>
  <si>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</si>
  <si>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</si>
  <si>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</si>
  <si>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</si>
  <si>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</si>
  <si>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</si>
  <si>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</si>
  <si>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</si>
  <si>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</si>
  <si>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</si>
  <si>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</si>
  <si>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</si>
  <si>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</si>
  <si>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</si>
  <si>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</si>
  <si>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</si>
  <si>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</si>
  <si>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</si>
  <si>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</si>
  <si>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</si>
  <si>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</si>
  <si>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</si>
  <si>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</si>
  <si>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</si>
  <si>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</si>
  <si>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</si>
  <si>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</si>
  <si>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</si>
  <si>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</si>
  <si>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</si>
  <si>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</si>
  <si>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</si>
  <si>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</si>
  <si>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</si>
  <si>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</si>
  <si>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</si>
  <si>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</si>
  <si>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</si>
  <si>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</si>
  <si>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</si>
  <si>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</si>
  <si>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</si>
  <si>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</si>
  <si>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</si>
  <si>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</si>
  <si>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</si>
  <si>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</si>
  <si>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</si>
  <si>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</si>
  <si>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</si>
  <si>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</si>
  <si>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</si>
  <si>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</si>
  <si>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</si>
  <si>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</si>
  <si>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</si>
  <si>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</si>
  <si>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</si>
  <si>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</si>
  <si>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</si>
  <si>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</si>
  <si>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</si>
  <si>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</si>
  <si>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</si>
  <si>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</si>
  <si>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</si>
  <si>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</si>
  <si>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</si>
  <si>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</si>
  <si>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</si>
  <si>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</si>
  <si>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</si>
  <si>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</si>
  <si>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</si>
  <si>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</si>
  <si>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</si>
  <si>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</si>
  <si>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</si>
  <si>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</si>
  <si>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</si>
  <si>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</si>
  <si>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</si>
  <si>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</si>
  <si>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</si>
  <si>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</si>
  <si>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</si>
  <si>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</si>
  <si>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</si>
  <si>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</si>
  <si>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</si>
  <si>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</si>
  <si>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</si>
  <si>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</si>
  <si>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</si>
  <si>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</si>
  <si>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</si>
  <si>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</si>
  <si>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</si>
  <si>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</si>
  <si>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</si>
  <si>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</si>
  <si>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</si>
  <si>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</si>
  <si>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</si>
  <si>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</si>
  <si>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</si>
  <si>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</si>
  <si>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</si>
  <si>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</si>
  <si>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</si>
  <si>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</si>
  <si>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</si>
  <si>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</si>
  <si>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</si>
  <si>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</si>
  <si>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</si>
  <si>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</si>
  <si>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</si>
  <si>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</si>
  <si>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</si>
  <si>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</si>
  <si>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</si>
  <si>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</si>
  <si>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</si>
  <si>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</si>
  <si>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</si>
  <si>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</si>
  <si>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</si>
  <si>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</si>
  <si>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</si>
  <si>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</si>
  <si>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</si>
  <si>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</si>
  <si>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</si>
  <si>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</si>
  <si>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</si>
  <si>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</si>
  <si>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</si>
  <si>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</si>
  <si>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</si>
  <si>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</si>
  <si>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</si>
  <si>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</si>
  <si>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</si>
  <si>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</si>
  <si>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</si>
  <si>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</si>
  <si>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</si>
  <si>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</si>
  <si>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</si>
  <si>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</si>
  <si>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</si>
  <si>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</si>
  <si>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</si>
  <si>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</si>
  <si>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</si>
  <si>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</si>
  <si>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</si>
  <si>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</si>
  <si>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</si>
  <si>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</si>
  <si>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</si>
  <si>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</si>
  <si>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</si>
  <si>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</si>
  <si>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</si>
  <si>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</si>
  <si>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</si>
  <si>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</si>
  <si>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</si>
  <si>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</si>
  <si>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</si>
  <si>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</si>
  <si>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</si>
  <si>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</si>
  <si>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</si>
  <si>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</si>
  <si>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</si>
  <si>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</si>
  <si>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</si>
  <si>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</si>
  <si>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</si>
  <si>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</si>
  <si>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</si>
  <si>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</si>
  <si>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</si>
  <si>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</si>
  <si>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</si>
  <si>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</si>
  <si>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</si>
  <si>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</si>
  <si>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</si>
  <si>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</si>
  <si>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</si>
  <si>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</si>
  <si>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</si>
  <si>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</si>
  <si>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</si>
  <si>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</si>
  <si>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</si>
  <si>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</si>
  <si>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</si>
  <si>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</si>
  <si>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</si>
  <si>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</si>
  <si>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</si>
  <si>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</si>
  <si>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</si>
  <si>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</si>
  <si>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</si>
  <si>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</si>
  <si>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</si>
  <si>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</si>
  <si>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</si>
  <si>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</si>
  <si>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</si>
  <si>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</si>
  <si>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</si>
  <si>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</si>
  <si>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</si>
  <si>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</si>
  <si>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</si>
  <si>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</si>
  <si>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</si>
  <si>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</si>
  <si>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</si>
  <si>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</si>
  <si>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</si>
  <si>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</si>
  <si>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</si>
  <si>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</si>
  <si>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</si>
  <si>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</si>
  <si>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</si>
  <si>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</si>
  <si>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</si>
  <si>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</si>
  <si>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</si>
  <si>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</si>
  <si>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</si>
  <si>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</si>
  <si>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</si>
  <si>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</si>
  <si>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</si>
  <si>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</si>
  <si>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</si>
  <si>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</si>
  <si>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</si>
  <si>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</si>
  <si>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</si>
  <si>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</si>
  <si>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</si>
  <si>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</si>
  <si>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</si>
  <si>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</si>
  <si>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</si>
  <si>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</si>
  <si>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</si>
  <si>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</si>
  <si>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</si>
  <si>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</si>
  <si>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</si>
  <si>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</si>
  <si>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</si>
  <si>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</si>
  <si>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</si>
  <si>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</si>
  <si>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</si>
  <si>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</si>
  <si>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</si>
  <si>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</si>
  <si>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</si>
  <si>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</si>
  <si>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</si>
  <si>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</si>
  <si>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</si>
  <si>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</si>
  <si>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</si>
  <si>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</si>
  <si>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</si>
  <si>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</si>
  <si>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</si>
  <si>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</si>
  <si>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</si>
  <si>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</si>
  <si>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</si>
  <si>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</si>
  <si>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</si>
  <si>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</si>
  <si>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</si>
  <si>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</si>
  <si>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</si>
  <si>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</si>
  <si>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</si>
  <si>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</si>
  <si>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</si>
  <si>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</si>
  <si>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</si>
  <si>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</si>
  <si>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</si>
  <si>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</si>
  <si>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</si>
  <si>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</si>
  <si>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</si>
  <si>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</si>
  <si>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</si>
  <si>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</si>
  <si>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</si>
  <si>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</si>
  <si>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</si>
  <si>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</si>
  <si>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</si>
  <si>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</si>
  <si>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</si>
  <si>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</si>
  <si>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</si>
  <si>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</si>
  <si>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</si>
  <si>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</si>
  <si>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</si>
  <si>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</si>
  <si>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</si>
  <si>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</si>
  <si>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</si>
  <si>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</si>
  <si>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</si>
  <si>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</si>
  <si>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</si>
  <si>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</si>
  <si>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</si>
  <si>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</si>
  <si>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</si>
  <si>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</si>
  <si>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</si>
  <si>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</si>
  <si>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</si>
  <si>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</si>
  <si>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</si>
  <si>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</si>
  <si>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</si>
  <si>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</si>
  <si>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</si>
  <si>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</si>
  <si>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</si>
  <si>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</si>
  <si>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</si>
  <si>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</si>
  <si>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</si>
  <si>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</si>
  <si>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</si>
  <si>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</si>
  <si>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</si>
  <si>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</si>
  <si>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</si>
  <si>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</si>
  <si>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</si>
  <si>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</si>
  <si>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</si>
  <si>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</si>
  <si>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</si>
  <si>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</si>
  <si>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</si>
  <si>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</si>
  <si>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</si>
  <si>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</si>
  <si>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</si>
  <si>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</si>
  <si>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</si>
  <si>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</si>
  <si>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</si>
  <si>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</si>
  <si>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</si>
  <si>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</si>
  <si>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</si>
  <si>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</si>
  <si>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</si>
  <si>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</si>
  <si>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</si>
  <si>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</si>
  <si>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</si>
  <si>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</si>
  <si>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</si>
  <si>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</si>
  <si>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</si>
  <si>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</si>
  <si>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</si>
  <si>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</si>
  <si>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</si>
  <si>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</si>
  <si>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</si>
  <si>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</si>
  <si>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</si>
  <si>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</si>
  <si>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</si>
  <si>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</si>
  <si>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</si>
  <si>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</si>
  <si>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</si>
  <si>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</si>
  <si>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</si>
  <si>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</si>
  <si>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</si>
  <si>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</si>
  <si>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</si>
  <si>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</si>
  <si>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</si>
  <si>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</si>
  <si>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</si>
  <si>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</si>
  <si>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</si>
  <si>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</si>
  <si>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</si>
  <si>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</si>
  <si>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</si>
  <si>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</si>
  <si>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</si>
  <si>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</si>
  <si>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</si>
  <si>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</si>
  <si>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</si>
  <si>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</si>
  <si>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</si>
  <si>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</si>
  <si>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</si>
  <si>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</si>
  <si>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</si>
  <si>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</si>
  <si>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</si>
  <si>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</si>
  <si>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</si>
  <si>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</si>
  <si>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</si>
  <si>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</si>
  <si>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</si>
  <si>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</si>
  <si>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</si>
  <si>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</si>
  <si>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</si>
  <si>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</si>
  <si>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</si>
  <si>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</si>
  <si>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</si>
  <si>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</si>
  <si>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</si>
  <si>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</si>
  <si>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</si>
  <si>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</si>
  <si>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</si>
  <si>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</si>
  <si>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</si>
  <si>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</si>
  <si>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</si>
  <si>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</si>
  <si>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</si>
  <si>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</si>
  <si>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</si>
  <si>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</si>
  <si>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</si>
  <si>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</si>
  <si>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</si>
  <si>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</si>
  <si>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</si>
  <si>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</si>
  <si>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</si>
  <si>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</si>
  <si>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</si>
  <si>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</si>
  <si>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</si>
  <si>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</si>
  <si>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</si>
  <si>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</si>
  <si>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</si>
  <si>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</si>
  <si>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</si>
  <si>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</si>
  <si>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</si>
  <si>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</si>
  <si>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</si>
  <si>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</si>
  <si>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</si>
  <si>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</si>
  <si>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</si>
  <si>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</si>
  <si>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</si>
  <si>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</si>
  <si>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</si>
  <si>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</si>
  <si>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</si>
  <si>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</si>
  <si>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</si>
  <si>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</si>
  <si>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</si>
  <si>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</si>
  <si>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</si>
  <si>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</si>
  <si>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</si>
  <si>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</si>
  <si>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</si>
  <si>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</si>
  <si>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</si>
  <si>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</si>
  <si>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</si>
  <si>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</si>
  <si>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</si>
  <si>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</si>
  <si>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</si>
  <si>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</si>
  <si>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</si>
  <si>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</si>
  <si>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</si>
  <si>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</si>
  <si>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</si>
  <si>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</si>
  <si>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</si>
  <si>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</si>
  <si>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</si>
  <si>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</si>
  <si>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</si>
  <si>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</si>
  <si>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</si>
  <si>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</si>
  <si>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</si>
  <si>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</si>
  <si>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</si>
  <si>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</si>
  <si>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</si>
  <si>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</si>
  <si>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</si>
  <si>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</si>
  <si>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</si>
  <si>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</si>
  <si>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</si>
  <si>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</si>
  <si>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</si>
  <si>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</si>
  <si>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</si>
  <si>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</si>
  <si>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</si>
  <si>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</si>
  <si>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</si>
  <si>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</si>
  <si>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</si>
  <si>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</si>
  <si>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</si>
  <si>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</si>
  <si>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</si>
  <si>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</si>
  <si>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</si>
  <si>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</si>
  <si>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</si>
  <si>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</si>
  <si>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</si>
  <si>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</si>
  <si>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</si>
  <si>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</si>
  <si>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</si>
  <si>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</si>
  <si>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</si>
  <si>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</si>
  <si>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</si>
  <si>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</si>
  <si>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</si>
  <si>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</si>
  <si>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</si>
  <si>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</si>
  <si>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</si>
  <si>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</si>
  <si>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</si>
  <si>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</si>
  <si>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</si>
  <si>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</si>
  <si>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</si>
  <si>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</si>
  <si>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</si>
  <si>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</si>
  <si>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</si>
  <si>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</si>
  <si>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</si>
  <si>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</si>
  <si>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</si>
  <si>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</si>
  <si>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</si>
  <si>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</si>
  <si>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</si>
  <si>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</si>
  <si>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</si>
  <si>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</si>
  <si>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</si>
  <si>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</si>
  <si>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</si>
  <si>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</si>
  <si>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</si>
  <si>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</si>
  <si>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</si>
  <si>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</si>
  <si>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</si>
  <si>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</si>
  <si>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</si>
  <si>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</si>
  <si>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</si>
  <si>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</si>
  <si>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</si>
  <si>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</si>
  <si>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</si>
  <si>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</si>
  <si>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</si>
  <si>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</si>
  <si>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</si>
  <si>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</si>
  <si>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</si>
  <si>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</si>
  <si>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</si>
  <si>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</si>
  <si>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</si>
  <si>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</si>
  <si>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</si>
  <si>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</si>
  <si>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</si>
  <si>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</si>
  <si>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</si>
  <si>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</si>
  <si>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</si>
  <si>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</si>
  <si>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</si>
  <si>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</si>
  <si>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</si>
  <si>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</si>
  <si>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</si>
  <si>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</si>
  <si>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</si>
  <si>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</si>
  <si>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</si>
  <si>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</si>
  <si>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</si>
  <si>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</si>
  <si>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</si>
  <si>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</si>
  <si>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</si>
  <si>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</si>
  <si>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</si>
  <si>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</si>
  <si>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</si>
  <si>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</si>
  <si>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</si>
  <si>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</si>
  <si>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</si>
  <si>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</si>
  <si>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</si>
  <si>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</si>
  <si>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</si>
  <si>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</si>
  <si>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</si>
  <si>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</si>
  <si>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</si>
  <si>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</si>
  <si>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</si>
  <si>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</si>
  <si>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</si>
  <si>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</si>
  <si>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</si>
  <si>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</si>
  <si>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</si>
  <si>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</si>
  <si>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</si>
  <si>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</si>
  <si>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</si>
  <si>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</si>
  <si>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</si>
  <si>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</si>
  <si>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</si>
  <si>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</si>
  <si>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</si>
  <si>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</si>
  <si>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</si>
  <si>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</si>
  <si>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</si>
  <si>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</si>
  <si>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</si>
  <si>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</si>
  <si>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</si>
  <si>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</si>
  <si>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</si>
  <si>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</si>
  <si>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</si>
  <si>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</si>
  <si>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</si>
  <si>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</si>
  <si>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</si>
  <si>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</si>
  <si>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</si>
  <si>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</si>
  <si>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</si>
  <si>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</si>
  <si>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</si>
  <si>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</si>
  <si>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</si>
  <si>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</si>
  <si>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</si>
  <si>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</si>
  <si>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</si>
  <si>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</si>
  <si>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</si>
  <si>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</si>
  <si>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</si>
  <si>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</si>
  <si>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</si>
  <si>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</si>
  <si>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</si>
  <si>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</si>
  <si>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</si>
  <si>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</si>
  <si>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</si>
  <si>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</si>
  <si>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</si>
  <si>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</si>
  <si>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</si>
  <si>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</si>
  <si>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</si>
  <si>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</si>
  <si>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</si>
  <si>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</si>
  <si>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</si>
  <si>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</si>
  <si>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</si>
  <si>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</si>
  <si>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</si>
  <si>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</si>
  <si>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</si>
  <si>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</si>
  <si>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</si>
  <si>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</si>
  <si>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</si>
  <si>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</si>
  <si>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</si>
  <si>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</si>
  <si>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</si>
  <si>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</si>
  <si>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</si>
  <si>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</si>
  <si>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</si>
  <si>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</si>
  <si>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</si>
  <si>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</si>
  <si>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</si>
  <si>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</si>
  <si>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</si>
  <si>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</si>
  <si>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</si>
  <si>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</si>
  <si>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</si>
  <si>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</si>
  <si>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</si>
  <si>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</si>
  <si>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</si>
  <si>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</si>
  <si>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</si>
  <si>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</si>
  <si>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</si>
  <si>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</si>
  <si>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</si>
  <si>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</si>
  <si>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</si>
  <si>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</si>
  <si>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</si>
  <si>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</si>
  <si>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</si>
  <si>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</si>
  <si>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</si>
  <si>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</si>
  <si>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</si>
  <si>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</si>
  <si>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</si>
  <si>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</si>
  <si>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</si>
  <si>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</si>
  <si>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</si>
  <si>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</si>
  <si>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</si>
  <si>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</si>
  <si>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</si>
  <si>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</si>
  <si>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</si>
  <si>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</si>
  <si>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</si>
  <si>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</si>
  <si>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</si>
  <si>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</si>
  <si>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</si>
  <si>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</si>
  <si>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</si>
  <si>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</si>
  <si>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</si>
  <si>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</si>
  <si>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</si>
  <si>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</si>
  <si>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</si>
  <si>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</si>
  <si>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</si>
  <si>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</si>
  <si>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</si>
  <si>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</si>
  <si>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</si>
  <si>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</si>
  <si>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</si>
  <si>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</si>
  <si>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</si>
  <si>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</si>
  <si>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</si>
  <si>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</si>
  <si>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</si>
  <si>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</si>
  <si>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</si>
  <si>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</si>
  <si>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</si>
  <si>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</si>
  <si>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</si>
  <si>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</si>
  <si>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</si>
  <si>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</si>
  <si>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</si>
  <si>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</si>
  <si>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</si>
  <si>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</si>
  <si>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</si>
  <si>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</si>
  <si>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</si>
  <si>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</si>
  <si>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</si>
  <si>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</si>
  <si>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</si>
  <si>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</si>
  <si>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</si>
  <si>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</si>
  <si>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</si>
  <si>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</si>
  <si>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</si>
  <si>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</si>
  <si>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</si>
  <si>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</si>
  <si>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</si>
  <si>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</si>
  <si>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</si>
  <si>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</si>
  <si>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</si>
  <si>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</si>
  <si>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</si>
  <si>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</si>
  <si>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</si>
  <si>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</si>
  <si>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</si>
  <si>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</si>
  <si>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</si>
  <si>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</si>
  <si>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</si>
  <si>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</si>
  <si>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</si>
  <si>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</si>
  <si>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</si>
  <si>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</si>
  <si>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</si>
  <si>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</si>
  <si>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</si>
  <si>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</si>
  <si>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</si>
  <si>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</si>
  <si>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</si>
  <si>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</si>
  <si>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</si>
  <si>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</si>
  <si>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</si>
  <si>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</si>
  <si>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</si>
  <si>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</si>
  <si>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</si>
  <si>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</si>
  <si>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</si>
  <si>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</si>
  <si>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</si>
  <si>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</si>
  <si>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</si>
  <si>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</si>
  <si>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</si>
  <si>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</si>
  <si>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</si>
  <si>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</si>
  <si>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</si>
  <si>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</si>
  <si>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</si>
  <si>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</si>
  <si>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</si>
  <si>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</si>
  <si>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</si>
  <si>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</si>
  <si>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</si>
  <si>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</si>
  <si>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</si>
  <si>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</si>
  <si>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</si>
  <si>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</si>
  <si>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</si>
  <si>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</si>
  <si>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</si>
  <si>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</si>
  <si>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</si>
  <si>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</si>
  <si>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</si>
  <si>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</si>
  <si>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</si>
  <si>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</si>
  <si>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</si>
  <si>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</si>
  <si>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</si>
  <si>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</si>
  <si>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</si>
  <si>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</si>
  <si>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</si>
  <si>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</si>
  <si>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</si>
  <si>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</si>
  <si>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</si>
  <si>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</si>
  <si>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</si>
  <si>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</si>
  <si>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</si>
  <si>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</si>
  <si>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</si>
  <si>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</si>
  <si>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</si>
  <si>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</si>
  <si>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</si>
  <si>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</si>
  <si>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</si>
  <si>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</si>
  <si>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</si>
  <si>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</si>
  <si>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</si>
  <si>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</si>
  <si>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</si>
  <si>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</si>
  <si>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</si>
  <si>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</si>
  <si>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</si>
  <si>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</si>
  <si>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</si>
  <si>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</si>
  <si>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</si>
  <si>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</si>
  <si>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</si>
  <si>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</si>
  <si>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</si>
  <si>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</si>
  <si>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</si>
  <si>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</si>
  <si>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</si>
  <si>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</si>
  <si>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</si>
  <si>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</si>
  <si>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</si>
  <si>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</si>
  <si>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</si>
  <si>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</si>
  <si>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</si>
  <si>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</si>
  <si>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</si>
  <si>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</si>
  <si>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</si>
  <si>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</si>
  <si>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</si>
  <si>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</si>
  <si>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</si>
  <si>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</si>
  <si>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</si>
  <si>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</si>
  <si>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</si>
  <si>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</si>
  <si>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</si>
  <si>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</si>
  <si>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</si>
  <si>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</si>
  <si>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</si>
  <si>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</si>
  <si>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</si>
  <si>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</si>
  <si>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</si>
  <si>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</si>
  <si>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</si>
  <si>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</si>
  <si>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</si>
  <si>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</si>
  <si>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</si>
  <si>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</si>
  <si>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</si>
  <si>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</si>
  <si>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</si>
  <si>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</si>
  <si>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</si>
  <si>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</si>
  <si>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</si>
  <si>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</si>
  <si>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</si>
  <si>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</si>
  <si>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</si>
  <si>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</si>
  <si>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</si>
  <si>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</si>
  <si>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</si>
  <si>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</si>
  <si>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</si>
  <si>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</si>
  <si>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</si>
  <si>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</si>
  <si>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</si>
  <si>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</si>
  <si>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</si>
  <si>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</si>
  <si>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</si>
  <si>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</si>
  <si>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</si>
  <si>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</si>
  <si>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</si>
  <si>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</si>
  <si>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</si>
  <si>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</si>
  <si>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</si>
  <si>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</si>
  <si>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</si>
  <si>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</si>
  <si>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</si>
  <si>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</si>
  <si>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</si>
  <si>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</si>
  <si>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</si>
  <si>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</si>
  <si>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</si>
  <si>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</si>
  <si>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</si>
  <si>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</si>
  <si>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</si>
  <si>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</si>
  <si>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</si>
  <si>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</si>
  <si>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</si>
  <si>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</si>
  <si>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</si>
  <si>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</si>
  <si>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</si>
  <si>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</si>
  <si>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</si>
  <si>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</si>
  <si>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</si>
  <si>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</si>
  <si>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</si>
  <si>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</si>
  <si>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</si>
  <si>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</si>
  <si>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</si>
  <si>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</si>
  <si>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</si>
  <si>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</si>
  <si>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</si>
  <si>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</si>
  <si>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</si>
  <si>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</si>
  <si>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</si>
  <si>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</si>
  <si>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</si>
  <si>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</si>
  <si>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</si>
  <si>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</si>
  <si>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</si>
  <si>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</si>
  <si>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</si>
  <si>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</si>
  <si>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</si>
  <si>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</si>
  <si>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</si>
  <si>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</si>
  <si>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</si>
  <si>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</si>
  <si>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</si>
  <si>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</si>
  <si>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</si>
  <si>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</si>
  <si>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</si>
  <si>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</si>
  <si>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</si>
  <si>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</si>
  <si>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</si>
  <si>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</si>
  <si>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</si>
  <si>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</si>
  <si>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</si>
  <si>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</si>
  <si>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</si>
  <si>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</si>
  <si>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</si>
  <si>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</si>
  <si>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</si>
  <si>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</si>
  <si>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</si>
  <si>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</si>
  <si>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</si>
  <si>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</si>
  <si>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</si>
  <si>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</si>
  <si>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</si>
  <si>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</si>
  <si>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</si>
  <si>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</si>
  <si>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</si>
  <si>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</si>
  <si>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</si>
  <si>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</si>
  <si>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</si>
  <si>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</si>
  <si>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</si>
  <si>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</si>
  <si>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</si>
  <si>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</si>
  <si>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</si>
  <si>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</si>
  <si>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</si>
  <si>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</si>
  <si>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</si>
  <si>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</si>
  <si>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</si>
  <si>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</si>
  <si>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</si>
  <si>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</si>
  <si>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</si>
  <si>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</si>
  <si>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</si>
  <si>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</si>
  <si>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</si>
  <si>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</si>
  <si>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</si>
  <si>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</si>
  <si>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</si>
  <si>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</si>
  <si>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</si>
  <si>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</si>
  <si>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</si>
  <si>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</si>
  <si>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</si>
  <si>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</si>
  <si>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</si>
  <si>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</si>
  <si>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</si>
  <si>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</si>
  <si>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</si>
  <si>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</si>
  <si>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</si>
  <si>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</si>
  <si>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</si>
  <si>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</si>
  <si>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</si>
  <si>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</si>
  <si>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</si>
  <si>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</si>
  <si>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</si>
  <si>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</si>
  <si>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</si>
  <si>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</si>
  <si>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</si>
  <si>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</si>
  <si>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</si>
  <si>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</si>
  <si>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</si>
  <si>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</si>
  <si>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</si>
  <si>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</si>
  <si>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</si>
  <si>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</si>
  <si>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</si>
  <si>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</si>
  <si>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</si>
  <si>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</si>
  <si>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</si>
  <si>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</si>
  <si>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</si>
  <si>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</si>
  <si>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</si>
  <si>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</si>
  <si>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</si>
  <si>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</si>
  <si>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</si>
  <si>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</si>
  <si>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</si>
  <si>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</si>
  <si>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</si>
  <si>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</si>
  <si>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</si>
  <si>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</si>
  <si>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</si>
  <si>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</si>
  <si>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</si>
  <si>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</si>
  <si>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</si>
  <si>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</si>
  <si>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</si>
  <si>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</si>
  <si>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</si>
  <si>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</si>
  <si>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</si>
  <si>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</si>
  <si>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</si>
  <si>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</si>
  <si>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</si>
  <si>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</si>
  <si>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</si>
  <si>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</si>
  <si>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</si>
  <si>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</si>
  <si>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</si>
  <si>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</si>
  <si>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</si>
  <si>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</si>
  <si>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</si>
  <si>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</si>
  <si>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</si>
  <si>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</si>
  <si>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</si>
  <si>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</si>
  <si>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</si>
  <si>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</si>
  <si>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</si>
  <si>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</si>
  <si>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</si>
  <si>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</si>
  <si>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</si>
  <si>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</si>
  <si>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</si>
  <si>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</si>
  <si>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</si>
  <si>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</si>
  <si>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</si>
  <si>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</si>
  <si>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</si>
  <si>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</si>
  <si>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</si>
  <si>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</si>
  <si>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</si>
  <si>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</si>
  <si>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</si>
  <si>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</si>
  <si>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</si>
  <si>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</si>
  <si>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</si>
  <si>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</si>
  <si>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</si>
  <si>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</si>
  <si>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</si>
  <si>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</si>
  <si>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</si>
  <si>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</si>
  <si>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</si>
  <si>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</si>
  <si>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</si>
  <si>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</si>
  <si>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</si>
  <si>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</si>
  <si>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</si>
  <si>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</si>
  <si>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</si>
  <si>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</si>
  <si>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</si>
  <si>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</si>
  <si>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</si>
  <si>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</si>
  <si>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</si>
  <si>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</si>
  <si>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</si>
  <si>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</si>
  <si>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</si>
  <si>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</si>
  <si>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</si>
  <si>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</si>
  <si>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</si>
  <si>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</si>
  <si>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</si>
  <si>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</si>
  <si>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</si>
  <si>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</si>
  <si>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</si>
  <si>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</si>
  <si>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</si>
  <si>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</si>
  <si>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</si>
  <si>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</si>
  <si>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</si>
  <si>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</si>
  <si>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</si>
  <si>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</si>
  <si>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</si>
  <si>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</si>
  <si>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</si>
  <si>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</si>
  <si>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</si>
  <si>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</si>
  <si>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</si>
  <si>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</si>
  <si>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</si>
  <si>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</si>
  <si>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</si>
  <si>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</si>
  <si>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</si>
  <si>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</si>
  <si>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</si>
  <si>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</si>
  <si>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</si>
  <si>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</si>
  <si>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</si>
  <si>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</si>
  <si>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</si>
  <si>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</si>
  <si>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</si>
  <si>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</si>
  <si>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</si>
  <si>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</si>
  <si>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</si>
  <si>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</si>
  <si>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</si>
  <si>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</si>
  <si>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</si>
  <si>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</si>
  <si>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</si>
  <si>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</si>
  <si>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</si>
  <si>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</si>
  <si>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</si>
  <si>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</si>
  <si>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</si>
  <si>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</si>
  <si>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</si>
  <si>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</si>
  <si>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</si>
  <si>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</si>
  <si>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</si>
  <si>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</si>
  <si>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</si>
  <si>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</si>
  <si>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</si>
  <si>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</si>
  <si>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</si>
  <si>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</si>
  <si>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</si>
  <si>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</si>
  <si>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</si>
  <si>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</si>
  <si>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</si>
  <si>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</si>
  <si>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</si>
  <si>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</si>
  <si>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</si>
  <si>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</si>
  <si>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</si>
  <si>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</si>
  <si>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</si>
  <si>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</si>
  <si>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</si>
  <si>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</si>
  <si>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</si>
  <si>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</si>
  <si>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</si>
  <si>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</si>
  <si>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</si>
  <si>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</si>
  <si>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</si>
  <si>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</si>
  <si>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</si>
  <si>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</si>
  <si>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</si>
  <si>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</si>
  <si>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</si>
  <si>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</si>
  <si>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</si>
  <si>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</si>
  <si>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</si>
  <si>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</si>
  <si>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</si>
  <si>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</si>
  <si>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</si>
  <si>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</si>
  <si>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</si>
  <si>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</si>
  <si>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</si>
  <si>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</si>
  <si>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</si>
  <si>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</si>
  <si>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</si>
  <si>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</si>
  <si>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</si>
  <si>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</si>
  <si>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</si>
  <si>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</si>
  <si>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</si>
  <si>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</si>
  <si>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</si>
  <si>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</si>
  <si>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</si>
  <si>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</si>
  <si>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</si>
  <si>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</si>
  <si>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</si>
  <si>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</si>
  <si>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</si>
  <si>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</si>
  <si>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</si>
  <si>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</si>
  <si>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</si>
  <si>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</si>
  <si>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</si>
  <si>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</si>
  <si>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</si>
  <si>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</si>
  <si>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</si>
  <si>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</si>
  <si>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</si>
  <si>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</si>
  <si>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</si>
  <si>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</si>
  <si>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</si>
  <si>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</si>
  <si>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</si>
  <si>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</si>
  <si>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</si>
  <si>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</si>
  <si>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</si>
  <si>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</si>
  <si>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</si>
  <si>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</si>
  <si>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</si>
  <si>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</si>
  <si>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</si>
  <si>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</si>
  <si>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</si>
  <si>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</si>
  <si>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</si>
  <si>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</si>
  <si>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</si>
  <si>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</si>
  <si>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</si>
  <si>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</si>
  <si>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</si>
  <si>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</si>
  <si>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</si>
  <si>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</si>
  <si>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</si>
  <si>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</si>
  <si>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</si>
  <si>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</si>
  <si>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</si>
  <si>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</si>
  <si>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</si>
  <si>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</si>
  <si>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</si>
  <si>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</si>
  <si>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</si>
  <si>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</si>
  <si>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</si>
  <si>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</si>
  <si>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</si>
  <si>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</si>
  <si>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</si>
  <si>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</si>
  <si>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</si>
  <si>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</si>
  <si>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</si>
  <si>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</si>
  <si>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</si>
  <si>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</si>
  <si>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</si>
  <si>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</si>
  <si>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</si>
  <si>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</si>
  <si>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</si>
  <si>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</si>
  <si>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</si>
  <si>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</si>
  <si>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</si>
  <si>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</si>
  <si>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</si>
  <si>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</si>
  <si>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</si>
  <si>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</si>
  <si>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</si>
  <si>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</si>
  <si>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</si>
  <si>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</si>
  <si>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</si>
  <si>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</si>
  <si>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</si>
  <si>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</si>
  <si>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</si>
  <si>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</si>
  <si>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</si>
  <si>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</si>
  <si>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</si>
  <si>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</si>
  <si>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</si>
  <si>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</si>
  <si>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</si>
  <si>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</si>
  <si>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</si>
  <si>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</si>
  <si>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</si>
  <si>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</si>
  <si>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</si>
  <si>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</si>
  <si>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</si>
  <si>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</si>
  <si>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</si>
  <si>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</si>
  <si>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</si>
  <si>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</si>
  <si>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</si>
  <si>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</si>
  <si>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</si>
  <si>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</si>
  <si>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</si>
  <si>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</si>
  <si>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</si>
  <si>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</si>
  <si>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</si>
  <si>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</si>
  <si>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</si>
  <si>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</si>
  <si>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</si>
  <si>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</si>
  <si>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</si>
  <si>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</si>
  <si>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</si>
  <si>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</si>
  <si>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</si>
  <si>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</si>
  <si>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</si>
  <si>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</si>
  <si>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</si>
  <si>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</si>
  <si>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</si>
  <si>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</si>
  <si>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</si>
  <si>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</si>
  <si>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</si>
  <si>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</si>
  <si>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</si>
  <si>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</si>
  <si>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</si>
  <si>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</si>
  <si>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</si>
  <si>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</si>
  <si>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</si>
  <si>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</si>
  <si>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</si>
  <si>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</si>
  <si>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</si>
  <si>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</si>
  <si>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</si>
  <si>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</si>
  <si>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</si>
  <si>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</si>
  <si>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</si>
  <si>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</si>
  <si>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</si>
  <si>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</si>
  <si>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</si>
  <si>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</si>
  <si>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</si>
  <si>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</si>
  <si>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</si>
  <si>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</si>
  <si>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</si>
  <si>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</si>
  <si>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</si>
  <si>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</si>
  <si>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</si>
  <si>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</si>
  <si>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</si>
  <si>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</si>
  <si>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</si>
  <si>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</si>
  <si>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</si>
  <si>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</si>
  <si>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</si>
  <si>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</si>
  <si>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</si>
  <si>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</si>
  <si>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</si>
  <si>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</si>
  <si>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</si>
  <si>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</si>
  <si>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</si>
  <si>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</si>
  <si>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</si>
  <si>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</si>
  <si>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</si>
  <si>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</si>
  <si>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</si>
  <si>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</si>
  <si>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</si>
  <si>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</si>
  <si>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</si>
  <si>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</si>
  <si>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</si>
  <si>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</si>
  <si>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</si>
  <si>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</si>
  <si>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</si>
  <si>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</si>
  <si>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</si>
  <si>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</si>
  <si>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</si>
  <si>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</si>
  <si>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</si>
  <si>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</si>
  <si>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</si>
  <si>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</si>
  <si>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</si>
  <si>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</si>
  <si>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</si>
  <si>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</si>
  <si>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</si>
  <si>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</si>
  <si>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</si>
  <si>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</si>
  <si>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</si>
  <si>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</si>
  <si>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</si>
  <si>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</si>
  <si>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</si>
  <si>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</si>
  <si>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</si>
  <si>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</si>
  <si>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</si>
  <si>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</si>
  <si>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</si>
  <si>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</si>
  <si>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</si>
  <si>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</si>
  <si>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</si>
  <si>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</si>
  <si>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</si>
  <si>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</si>
  <si>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</si>
  <si>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</si>
  <si>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</si>
  <si>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</si>
  <si>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</si>
  <si>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</si>
  <si>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</si>
  <si>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</si>
  <si>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</si>
  <si>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</si>
  <si>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</si>
  <si>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</si>
  <si>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</si>
  <si>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</si>
  <si>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</si>
  <si>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</si>
  <si>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</si>
  <si>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</si>
  <si>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</si>
  <si>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</si>
  <si>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</si>
  <si>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</si>
  <si>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</si>
  <si>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</si>
  <si>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</si>
  <si>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</si>
  <si>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</si>
  <si>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</si>
  <si>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</si>
  <si>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</si>
  <si>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</si>
  <si>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</si>
  <si>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</si>
  <si>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</si>
  <si>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</si>
  <si>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</si>
  <si>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</si>
  <si>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</si>
  <si>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</si>
  <si>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</si>
  <si>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</si>
  <si>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</si>
  <si>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</si>
  <si>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</si>
  <si>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</si>
  <si>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</si>
  <si>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</si>
  <si>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</si>
  <si>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</si>
  <si>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</si>
  <si>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</si>
  <si>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</si>
  <si>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</si>
  <si>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</si>
  <si>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</si>
  <si>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</si>
  <si>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</si>
  <si>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</si>
  <si>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</si>
  <si>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</si>
  <si>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</si>
  <si>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</si>
  <si>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</si>
  <si>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</si>
  <si>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</si>
  <si>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</si>
  <si>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</si>
  <si>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</si>
  <si>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</si>
  <si>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</si>
  <si>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</si>
  <si>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</si>
  <si>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</si>
  <si>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</si>
  <si>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</si>
  <si>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</si>
  <si>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</si>
  <si>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</si>
  <si>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</si>
  <si>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</si>
  <si>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</si>
  <si>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</si>
  <si>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</si>
  <si>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</si>
  <si>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</si>
  <si>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</si>
  <si>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</si>
  <si>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</si>
  <si>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</si>
  <si>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</si>
  <si>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</si>
  <si>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</si>
  <si>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</si>
  <si>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</si>
  <si>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</si>
  <si>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</si>
  <si>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</si>
  <si>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</si>
  <si>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</si>
  <si>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</si>
  <si>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</si>
  <si>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</si>
  <si>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</si>
  <si>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</si>
  <si>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</si>
  <si>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</si>
  <si>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</si>
  <si>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</si>
  <si>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</si>
  <si>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</si>
  <si>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</si>
  <si>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</si>
  <si>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</si>
  <si>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</si>
  <si>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</si>
  <si>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</si>
  <si>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</si>
  <si>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</si>
  <si>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</si>
  <si>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</si>
  <si>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</si>
  <si>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</si>
  <si>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</si>
  <si>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</si>
  <si>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</si>
  <si>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</si>
  <si>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</si>
  <si>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</si>
  <si>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</si>
  <si>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</si>
  <si>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</si>
  <si>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</si>
  <si>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</si>
  <si>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</si>
  <si>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</si>
  <si>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</si>
  <si>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</si>
  <si>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</si>
  <si>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</si>
  <si>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</si>
  <si>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</si>
  <si>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</si>
  <si>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</si>
  <si>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</si>
  <si>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</si>
  <si>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</si>
  <si>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</si>
  <si>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</si>
  <si>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</si>
  <si>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</si>
  <si>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</si>
  <si>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</si>
  <si>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</si>
  <si>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</si>
  <si>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</si>
  <si>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</si>
  <si>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</si>
  <si>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</si>
  <si>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</si>
  <si>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</si>
  <si>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</si>
  <si>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</si>
  <si>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</si>
  <si>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</si>
  <si>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</si>
  <si>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</si>
  <si>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</si>
  <si>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</si>
  <si>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</si>
  <si>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</si>
  <si>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</si>
  <si>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</si>
  <si>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</si>
  <si>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</si>
  <si>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</si>
  <si>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</si>
  <si>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</si>
  <si>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</si>
  <si>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</si>
  <si>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</si>
  <si>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</si>
  <si>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</si>
  <si>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</si>
  <si>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</si>
  <si>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</si>
  <si>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</si>
  <si>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</si>
  <si>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</si>
  <si>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</si>
  <si>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</si>
  <si>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</si>
  <si>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</si>
  <si>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</si>
  <si>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</si>
  <si>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</si>
  <si>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</si>
  <si>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</si>
  <si>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</si>
  <si>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</si>
  <si>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</si>
  <si>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</si>
  <si>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</si>
  <si>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</si>
  <si>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</si>
  <si>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</si>
  <si>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</si>
  <si>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</si>
  <si>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</si>
  <si>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</si>
  <si>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</si>
  <si>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</si>
  <si>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</si>
  <si>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</si>
  <si>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</si>
  <si>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</si>
  <si>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</si>
  <si>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</si>
  <si>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</si>
  <si>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</si>
  <si>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</si>
  <si>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</si>
  <si>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</si>
  <si>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</si>
  <si>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</si>
  <si>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</si>
  <si>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</si>
  <si>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</si>
  <si>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</si>
  <si>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</si>
  <si>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</si>
  <si>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</si>
  <si>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</si>
  <si>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</si>
  <si>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</si>
  <si>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</si>
  <si>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</si>
  <si>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</si>
  <si>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</si>
  <si>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</si>
  <si>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</si>
  <si>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</si>
  <si>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</si>
  <si>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</si>
  <si>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</si>
  <si>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</si>
  <si>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</si>
  <si>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</si>
  <si>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</si>
  <si>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</si>
  <si>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</si>
  <si>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</si>
  <si>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</si>
  <si>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</si>
  <si>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</si>
  <si>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</si>
  <si>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</si>
  <si>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</si>
  <si>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</si>
  <si>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</si>
  <si>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</si>
  <si>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</si>
  <si>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</si>
  <si>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</si>
  <si>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</si>
  <si>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</si>
  <si>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</si>
  <si>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</si>
  <si>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</si>
  <si>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</si>
  <si>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</si>
  <si>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</si>
  <si>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</si>
  <si>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</si>
  <si>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</si>
  <si>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</si>
  <si>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</si>
  <si>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</si>
  <si>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</si>
  <si>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</si>
  <si>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</si>
  <si>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</si>
  <si>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</si>
  <si>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</si>
  <si>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</si>
  <si>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</si>
  <si>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</si>
  <si>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</si>
  <si>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</si>
  <si>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</si>
  <si>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</si>
  <si>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</si>
  <si>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</si>
  <si>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</si>
  <si>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</si>
  <si>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</si>
  <si>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</si>
  <si>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</si>
  <si>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</si>
  <si>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</si>
  <si>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</si>
  <si>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</si>
  <si>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</si>
  <si>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</si>
  <si>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</si>
  <si>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</si>
  <si>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</si>
  <si>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</si>
  <si>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</si>
  <si>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</si>
  <si>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</si>
  <si>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</si>
  <si>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</si>
  <si>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</si>
  <si>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</si>
  <si>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</si>
  <si>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</si>
  <si>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</si>
  <si>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</si>
  <si>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</si>
  <si>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</si>
  <si>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</si>
  <si>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</si>
  <si>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</si>
  <si>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</si>
  <si>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</si>
  <si>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</si>
  <si>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</si>
  <si>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</si>
  <si>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</si>
  <si>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</si>
  <si>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</si>
  <si>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</si>
  <si>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</si>
  <si>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</si>
  <si>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</si>
  <si>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</si>
  <si>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</si>
  <si>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</si>
  <si>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</si>
  <si>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</si>
  <si>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</si>
  <si>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</si>
  <si>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</si>
  <si>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</si>
  <si>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</si>
  <si>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</si>
  <si>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</si>
  <si>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</si>
  <si>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</si>
  <si>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</si>
  <si>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</si>
  <si>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</si>
  <si>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</si>
  <si>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</si>
  <si>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</si>
  <si>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</si>
  <si>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</si>
  <si>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</si>
  <si>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</si>
  <si>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</si>
  <si>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</si>
  <si>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</si>
  <si>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</si>
  <si>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</si>
  <si>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</si>
  <si>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</si>
  <si>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</si>
  <si>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</si>
  <si>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</si>
  <si>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</si>
  <si>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</si>
  <si>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</si>
  <si>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</si>
  <si>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</si>
  <si>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</si>
  <si>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</si>
  <si>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</si>
  <si>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</si>
  <si>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</si>
  <si>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</si>
  <si>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</si>
  <si>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</si>
  <si>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</si>
  <si>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</si>
  <si>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</si>
  <si>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</si>
  <si>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</si>
  <si>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</si>
  <si>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</si>
  <si>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</si>
  <si>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</si>
  <si>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</si>
  <si>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</si>
  <si>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</si>
  <si>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</si>
  <si>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</si>
  <si>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</si>
  <si>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</si>
  <si>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</si>
  <si>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</si>
  <si>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</si>
  <si>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</si>
  <si>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</si>
  <si>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</si>
  <si>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</si>
  <si>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</si>
  <si>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</si>
  <si>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</si>
  <si>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</si>
  <si>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</si>
  <si>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</si>
  <si>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</si>
  <si>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</si>
  <si>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</si>
  <si>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</si>
  <si>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</si>
  <si>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</si>
  <si>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</si>
  <si>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</si>
  <si>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</si>
  <si>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</si>
  <si>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</si>
  <si>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</si>
  <si>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</si>
  <si>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</si>
  <si>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</si>
  <si>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</si>
  <si>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</si>
  <si>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</si>
  <si>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</si>
  <si>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</si>
  <si>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</si>
  <si>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</si>
  <si>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</si>
  <si>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</si>
  <si>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</si>
  <si>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</si>
  <si>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</si>
  <si>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</si>
  <si>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</si>
  <si>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</si>
  <si>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</si>
  <si>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</si>
  <si>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</si>
  <si>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</si>
  <si>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</si>
  <si>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</si>
  <si>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</si>
  <si>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</si>
  <si>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</si>
  <si>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</si>
  <si>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</si>
  <si>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</si>
  <si>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</si>
  <si>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</si>
  <si>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</si>
  <si>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</si>
  <si>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</si>
  <si>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</si>
  <si>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</si>
  <si>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</si>
  <si>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</si>
  <si>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</si>
  <si>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</si>
  <si>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</si>
  <si>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</si>
  <si>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</si>
  <si>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</si>
  <si>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</si>
  <si>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</si>
  <si>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</si>
  <si>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</si>
  <si>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</si>
  <si>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</si>
  <si>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</si>
  <si>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</si>
  <si>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</si>
  <si>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</si>
  <si>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</si>
  <si>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</si>
  <si>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</si>
  <si>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</si>
  <si>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</si>
  <si>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</si>
  <si>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</si>
  <si>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</si>
  <si>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</si>
  <si>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</si>
  <si>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</si>
  <si>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</si>
  <si>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</si>
  <si>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</si>
  <si>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</si>
  <si>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</si>
  <si>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</si>
  <si>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</si>
  <si>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</si>
  <si>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</si>
  <si>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</si>
  <si>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</si>
  <si>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</si>
  <si>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</si>
  <si>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</si>
  <si>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</si>
  <si>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</si>
  <si>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</si>
  <si>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</si>
  <si>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</si>
  <si>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</si>
  <si>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</si>
  <si>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</si>
  <si>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</si>
  <si>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</si>
  <si>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</si>
  <si>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</si>
  <si>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</si>
  <si>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</si>
  <si>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</si>
  <si>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</si>
  <si>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</si>
  <si>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</si>
  <si>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</si>
  <si>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</si>
  <si>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</si>
  <si>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</si>
  <si>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</si>
  <si>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</si>
  <si>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</si>
  <si>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</si>
  <si>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</si>
  <si>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</si>
  <si>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</si>
  <si>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</si>
  <si>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</si>
  <si>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</si>
  <si>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</si>
  <si>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</si>
  <si>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</si>
  <si>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</si>
  <si>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</si>
  <si>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</si>
  <si>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</si>
  <si>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</si>
  <si>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</si>
  <si>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</si>
  <si>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</si>
  <si>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</si>
  <si>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</si>
  <si>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</si>
  <si>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</si>
  <si>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</si>
  <si>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</si>
  <si>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</si>
  <si>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</si>
  <si>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</si>
  <si>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</si>
  <si>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</si>
  <si>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</si>
  <si>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</si>
  <si>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</si>
  <si>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</si>
  <si>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</si>
  <si>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</si>
  <si>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</si>
  <si>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</si>
  <si>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</si>
  <si>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</si>
  <si>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</si>
  <si>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</si>
  <si>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</si>
  <si>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</si>
  <si>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</si>
  <si>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</si>
  <si>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</si>
  <si>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</si>
  <si>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</si>
  <si>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</si>
  <si>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</si>
  <si>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</si>
  <si>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</si>
  <si>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</si>
  <si>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</si>
  <si>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</si>
  <si>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</si>
  <si>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</si>
  <si>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</si>
  <si>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</si>
  <si>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</si>
  <si>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</si>
  <si>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</si>
  <si>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</si>
  <si>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</si>
  <si>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</si>
  <si>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</si>
  <si>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</si>
  <si>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</si>
  <si>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</si>
  <si>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</si>
  <si>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</si>
  <si>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</si>
  <si>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</si>
  <si>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</si>
  <si>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</si>
  <si>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</si>
  <si>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</si>
  <si>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</si>
  <si>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</si>
  <si>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</si>
  <si>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</si>
  <si>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</si>
  <si>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</si>
  <si>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</si>
  <si>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</si>
  <si>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</si>
  <si>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</si>
  <si>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</si>
  <si>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</si>
  <si>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</si>
  <si>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</si>
  <si>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</si>
  <si>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</si>
  <si>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</si>
  <si>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</si>
  <si>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</si>
  <si>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</si>
  <si>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</si>
  <si>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</si>
  <si>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</si>
  <si>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</si>
  <si>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</si>
  <si>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</si>
  <si>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</si>
  <si>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</si>
  <si>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</si>
  <si>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</si>
  <si>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</si>
  <si>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</si>
  <si>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</si>
  <si>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</si>
  <si>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</si>
  <si>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</si>
  <si>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</si>
  <si>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</si>
  <si>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</si>
  <si>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</si>
  <si>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</si>
  <si>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</si>
  <si>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</si>
  <si>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</si>
  <si>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</si>
  <si>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</si>
  <si>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</si>
  <si>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</si>
  <si>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</si>
  <si>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</si>
  <si>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</si>
  <si>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</si>
  <si>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</si>
  <si>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</si>
  <si>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</si>
  <si>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</si>
  <si>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</si>
  <si>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</si>
  <si>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</si>
  <si>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</si>
  <si>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</si>
  <si>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</si>
  <si>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</si>
  <si>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</si>
  <si>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</si>
  <si>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</si>
  <si>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</si>
  <si>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</si>
  <si>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</si>
  <si>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</si>
  <si>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</si>
  <si>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</si>
  <si>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</si>
  <si>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</si>
  <si>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</si>
  <si>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</si>
  <si>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</si>
  <si>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</si>
  <si>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</si>
  <si>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</si>
  <si>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</si>
  <si>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</si>
  <si>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</si>
  <si>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</si>
  <si>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</si>
  <si>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</si>
  <si>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</si>
  <si>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</si>
  <si>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</si>
  <si>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</si>
  <si>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</si>
  <si>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</si>
  <si>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</si>
  <si>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</si>
  <si>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</si>
  <si>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</si>
  <si>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</si>
  <si>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</si>
  <si>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</si>
  <si>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</si>
  <si>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</si>
  <si>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</si>
  <si>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</si>
  <si>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</si>
  <si>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</si>
  <si>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</si>
  <si>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</si>
  <si>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</si>
  <si>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</si>
  <si>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</si>
  <si>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</si>
  <si>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</si>
  <si>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</si>
  <si>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</si>
  <si>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</si>
  <si>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</si>
  <si>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</si>
  <si>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</si>
  <si>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</si>
  <si>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</si>
  <si>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</si>
  <si>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</si>
  <si>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</si>
  <si>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</si>
  <si>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</si>
  <si>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</si>
  <si>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</si>
  <si>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</si>
  <si>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</si>
  <si>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</si>
  <si>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</si>
  <si>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</si>
  <si>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</si>
  <si>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</si>
  <si>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</si>
  <si>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</si>
  <si>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</si>
  <si>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</si>
  <si>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</si>
  <si>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</si>
  <si>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</si>
  <si>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</si>
  <si>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</si>
  <si>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</si>
  <si>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</si>
  <si>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</si>
  <si>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</si>
  <si>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</si>
  <si>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</si>
  <si>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</si>
  <si>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</si>
  <si>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</si>
  <si>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</si>
  <si>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</si>
  <si>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</si>
  <si>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</si>
  <si>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</si>
  <si>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</si>
  <si>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</si>
  <si>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</si>
  <si>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</si>
  <si>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</si>
  <si>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</si>
  <si>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</si>
  <si>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</si>
  <si>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</si>
  <si>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</si>
  <si>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</si>
  <si>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</si>
  <si>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</si>
  <si>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</si>
  <si>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</si>
  <si>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</si>
  <si>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</si>
  <si>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</si>
  <si>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</si>
  <si>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</si>
  <si>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</si>
  <si>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</si>
  <si>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</si>
  <si>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</si>
  <si>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</si>
  <si>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</si>
  <si>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</si>
  <si>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</si>
  <si>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</si>
  <si>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</si>
  <si>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</si>
  <si>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</si>
  <si>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</si>
  <si>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</si>
  <si>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</si>
  <si>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</si>
  <si>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</si>
  <si>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</si>
  <si>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</si>
  <si>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</si>
  <si>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</si>
  <si>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</si>
  <si>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</si>
  <si>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</si>
  <si>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</si>
  <si>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</si>
  <si>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</si>
  <si>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</si>
  <si>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</si>
  <si>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</si>
  <si>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</si>
  <si>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</si>
  <si>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</si>
  <si>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</si>
  <si>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</si>
  <si>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</si>
  <si>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</si>
  <si>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</si>
  <si>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</si>
  <si>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</si>
  <si>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</si>
  <si>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</si>
  <si>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</si>
  <si>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</si>
  <si>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</si>
  <si>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</si>
  <si>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</si>
  <si>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</si>
  <si>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</si>
  <si>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</si>
  <si>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</si>
  <si>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</si>
  <si>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</si>
  <si>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</si>
  <si>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</si>
  <si>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</si>
  <si>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</si>
  <si>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</si>
  <si>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</si>
  <si>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</si>
  <si>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</si>
  <si>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</si>
  <si>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</si>
  <si>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</si>
  <si>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</si>
  <si>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</si>
  <si>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</si>
  <si>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</si>
  <si>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</si>
  <si>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</si>
  <si>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</si>
  <si>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</si>
  <si>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</si>
  <si>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</si>
  <si>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</si>
  <si>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</si>
  <si>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</si>
  <si>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</si>
  <si>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</si>
  <si>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</si>
  <si>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</si>
  <si>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</si>
  <si>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</si>
  <si>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</si>
  <si>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</si>
  <si>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</si>
  <si>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</si>
  <si>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</si>
  <si>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</si>
  <si>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</si>
  <si>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</si>
  <si>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</si>
  <si>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</si>
  <si>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</si>
  <si>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</si>
  <si>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</si>
  <si>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</si>
  <si>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</si>
  <si>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</si>
  <si>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</si>
  <si>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</si>
  <si>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</si>
  <si>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</si>
  <si>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</si>
  <si>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</si>
  <si>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</si>
  <si>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</si>
  <si>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</si>
  <si>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</si>
  <si>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</si>
  <si>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</si>
  <si>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</si>
  <si>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</si>
  <si>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</si>
  <si>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</si>
  <si>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</si>
  <si>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</si>
  <si>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</si>
  <si>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</si>
  <si>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</si>
  <si>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</si>
  <si>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</si>
  <si>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</si>
  <si>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</si>
  <si>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</si>
  <si>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</si>
  <si>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</si>
  <si>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</si>
  <si>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</si>
  <si>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</si>
  <si>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</si>
  <si>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</si>
  <si>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</si>
  <si>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</si>
  <si>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</si>
  <si>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</si>
  <si>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</si>
  <si>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</si>
  <si>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</si>
  <si>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</si>
  <si>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</si>
  <si>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</si>
  <si>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</si>
  <si>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</si>
  <si>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</si>
  <si>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</si>
  <si>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</si>
  <si>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</si>
  <si>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</si>
  <si>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</si>
  <si>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</si>
  <si>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</si>
  <si>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</si>
  <si>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</si>
  <si>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</si>
  <si>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</si>
  <si>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</si>
  <si>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</si>
  <si>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</si>
  <si>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</si>
  <si>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</si>
  <si>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</si>
  <si>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</si>
  <si>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</si>
  <si>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</si>
  <si>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</si>
  <si>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</si>
  <si>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</si>
  <si>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</si>
  <si>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</si>
  <si>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</si>
  <si>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</si>
  <si>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</si>
  <si>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</si>
  <si>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</si>
  <si>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</si>
  <si>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</si>
  <si>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</si>
  <si>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</si>
  <si>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</si>
  <si>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</si>
  <si>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</si>
  <si>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</si>
  <si>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</si>
  <si>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</si>
  <si>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</si>
  <si>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</si>
  <si>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</si>
  <si>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</si>
  <si>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</si>
  <si>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</si>
  <si>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</si>
  <si>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</si>
  <si>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</si>
  <si>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</si>
  <si>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</si>
  <si>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</si>
  <si>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</si>
  <si>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</si>
  <si>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</si>
  <si>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</si>
  <si>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</si>
  <si>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</si>
  <si>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</si>
  <si>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</si>
  <si>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</si>
  <si>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</si>
  <si>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</si>
  <si>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</si>
  <si>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</si>
  <si>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</si>
  <si>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</si>
  <si>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</si>
  <si>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</si>
  <si>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</si>
  <si>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</si>
  <si>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</si>
  <si>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</si>
  <si>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</si>
  <si>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</si>
  <si>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</si>
  <si>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</si>
  <si>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</si>
  <si>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</si>
  <si>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</si>
  <si>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</si>
  <si>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</si>
  <si>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</si>
  <si>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</si>
  <si>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</si>
  <si>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</si>
  <si>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</si>
  <si>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</si>
  <si>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</si>
  <si>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</si>
  <si>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</si>
  <si>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</si>
  <si>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</si>
  <si>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</si>
  <si>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</si>
  <si>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</si>
  <si>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</si>
  <si>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</si>
  <si>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</si>
  <si>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</si>
  <si>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</si>
  <si>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</si>
  <si>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</si>
  <si>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</si>
  <si>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</si>
  <si>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</si>
  <si>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</si>
  <si>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</si>
  <si>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</si>
  <si>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</si>
  <si>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</si>
  <si>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</si>
  <si>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</si>
  <si>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</si>
  <si>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</si>
  <si>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</si>
  <si>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</si>
  <si>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</si>
  <si>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</si>
  <si>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</si>
  <si>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</si>
  <si>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</si>
  <si>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</si>
  <si>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</si>
  <si>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</si>
  <si>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</si>
  <si>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</si>
  <si>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</si>
  <si>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</si>
  <si>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</si>
  <si>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</si>
  <si>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</si>
  <si>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</si>
  <si>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</si>
  <si>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</si>
  <si>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</si>
  <si>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</si>
  <si>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</si>
  <si>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</si>
  <si>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</si>
  <si>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</si>
  <si>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</si>
  <si>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</si>
  <si>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</si>
  <si>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</si>
  <si>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</si>
  <si>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</si>
  <si>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</si>
  <si>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</si>
  <si>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</si>
  <si>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</si>
  <si>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</si>
  <si>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</si>
  <si>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</si>
  <si>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</si>
  <si>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</si>
  <si>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</si>
  <si>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</si>
  <si>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</si>
  <si>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</si>
  <si>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</si>
  <si>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</si>
  <si>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</si>
  <si>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</si>
  <si>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</si>
  <si>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</si>
  <si>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</si>
  <si>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</si>
  <si>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</si>
  <si>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</si>
  <si>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</si>
  <si>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</si>
  <si>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</si>
  <si>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</si>
  <si>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</si>
  <si>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</si>
  <si>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</si>
  <si>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</si>
  <si>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</si>
  <si>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</si>
  <si>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</si>
  <si>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</si>
  <si>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</si>
  <si>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</si>
  <si>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</si>
  <si>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</si>
  <si>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</si>
  <si>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</si>
  <si>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</si>
  <si>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</si>
  <si>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</si>
  <si>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</si>
  <si>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</si>
  <si>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</si>
  <si>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</si>
  <si>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</si>
  <si>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</si>
  <si>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</si>
  <si>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</si>
  <si>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</si>
  <si>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</si>
  <si>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</si>
  <si>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</si>
  <si>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</si>
  <si>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</si>
  <si>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</si>
  <si>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</si>
  <si>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</si>
  <si>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</si>
  <si>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</si>
  <si>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</si>
  <si>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</si>
  <si>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</si>
  <si>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</si>
  <si>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</si>
  <si>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</si>
  <si>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</si>
  <si>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</si>
  <si>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</si>
  <si>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</si>
  <si>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</si>
  <si>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</si>
  <si>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</si>
  <si>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</si>
  <si>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</si>
  <si>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</si>
  <si>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</si>
  <si>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</si>
  <si>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</si>
  <si>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</si>
  <si>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</si>
  <si>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</si>
  <si>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</si>
  <si>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</si>
  <si>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</si>
  <si>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</si>
  <si>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</si>
  <si>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</si>
  <si>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</si>
  <si>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</si>
  <si>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</si>
  <si>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</si>
  <si>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</si>
  <si>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</si>
  <si>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</si>
  <si>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</si>
  <si>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</si>
  <si>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</si>
  <si>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</si>
  <si>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</si>
  <si>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</si>
  <si>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</si>
  <si>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</si>
  <si>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</si>
  <si>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</si>
  <si>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</si>
  <si>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</si>
  <si>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</si>
  <si>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</si>
  <si>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</si>
  <si>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</si>
  <si>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</si>
  <si>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</si>
  <si>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</si>
  <si>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</si>
  <si>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</si>
  <si>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</si>
  <si>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</si>
  <si>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</si>
  <si>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</si>
  <si>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</si>
  <si>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</si>
  <si>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</si>
  <si>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</si>
  <si>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</si>
  <si>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</si>
  <si>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</si>
  <si>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</si>
  <si>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</si>
  <si>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</si>
  <si>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</si>
  <si>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</si>
  <si>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</si>
  <si>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</si>
  <si>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</si>
  <si>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</si>
  <si>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</si>
  <si>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</si>
  <si>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</si>
  <si>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</si>
  <si>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</si>
  <si>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</si>
  <si>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</si>
  <si>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</si>
  <si>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</si>
  <si>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</si>
  <si>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</si>
  <si>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</si>
  <si>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</si>
  <si>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</si>
  <si>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</si>
  <si>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</si>
  <si>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</si>
  <si>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</si>
  <si>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</si>
  <si>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</si>
  <si>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</si>
  <si>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</si>
  <si>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</si>
  <si>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</si>
  <si>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</si>
  <si>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</si>
  <si>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</si>
  <si>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</si>
  <si>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</si>
  <si>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</si>
  <si>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</si>
  <si>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</si>
  <si>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</si>
  <si>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</si>
  <si>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</si>
  <si>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</si>
  <si>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</si>
  <si>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</si>
  <si>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</si>
  <si>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</si>
  <si>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</si>
  <si>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</si>
  <si>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</si>
  <si>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</si>
  <si>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</si>
  <si>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</si>
  <si>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</si>
  <si>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</si>
  <si>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</si>
  <si>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</si>
  <si>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</si>
  <si>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</si>
  <si>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</si>
  <si>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</si>
  <si>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</si>
  <si>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</si>
  <si>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</si>
  <si>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</si>
  <si>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</si>
  <si>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</si>
  <si>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</si>
  <si>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</si>
  <si>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</si>
  <si>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</si>
  <si>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</si>
  <si>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</si>
  <si>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</si>
  <si>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</si>
  <si>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</si>
  <si>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</si>
  <si>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</si>
  <si>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</si>
  <si>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</si>
  <si>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</si>
  <si>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</si>
  <si>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</si>
  <si>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</si>
  <si>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</si>
  <si>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</si>
  <si>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</si>
  <si>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</si>
  <si>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</si>
  <si>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</si>
  <si>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</si>
  <si>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</si>
  <si>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</si>
  <si>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</si>
  <si>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</si>
  <si>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</si>
  <si>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</si>
  <si>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</si>
  <si>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</si>
  <si>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</si>
  <si>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</si>
  <si>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</si>
  <si>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</si>
  <si>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</si>
  <si>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</si>
  <si>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</si>
  <si>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</si>
  <si>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</si>
  <si>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</si>
  <si>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</si>
  <si>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</si>
  <si>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</si>
  <si>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</si>
  <si>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</si>
  <si>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</si>
  <si>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</si>
  <si>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</si>
  <si>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</si>
  <si>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</si>
  <si>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</si>
  <si>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</si>
  <si>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</si>
  <si>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</si>
  <si>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</si>
  <si>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</si>
  <si>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</si>
  <si>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</si>
  <si>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</si>
  <si>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</si>
  <si>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</si>
  <si>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</si>
  <si>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</si>
  <si>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</si>
  <si>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</si>
  <si>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</si>
  <si>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</si>
  <si>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</si>
  <si>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</si>
  <si>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</si>
  <si>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</si>
  <si>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</si>
  <si>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</si>
  <si>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</si>
  <si>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</si>
  <si>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</si>
  <si>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</si>
  <si>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</si>
  <si>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</si>
  <si>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</si>
  <si>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</si>
  <si>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</si>
  <si>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</si>
  <si>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</si>
  <si>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</si>
  <si>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</si>
  <si>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</si>
  <si>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</si>
  <si>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</si>
  <si>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</si>
  <si>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</si>
  <si>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</si>
  <si>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</si>
  <si>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</si>
  <si>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</si>
  <si>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</si>
  <si>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</si>
  <si>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</si>
  <si>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</si>
  <si>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</si>
  <si>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</si>
  <si>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</si>
  <si>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</si>
  <si>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</si>
  <si>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</si>
  <si>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</si>
  <si>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</si>
  <si>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</si>
  <si>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</si>
  <si>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</si>
  <si>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</si>
  <si>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</si>
  <si>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</si>
  <si>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</si>
  <si>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</si>
  <si>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</si>
  <si>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</si>
  <si>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</si>
  <si>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</si>
  <si>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</si>
  <si>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</si>
  <si>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</si>
  <si>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</si>
  <si>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</si>
  <si>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</si>
  <si>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</si>
  <si>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</si>
  <si>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</si>
  <si>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</si>
  <si>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</si>
  <si>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</si>
  <si>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</si>
  <si>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</si>
  <si>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</si>
  <si>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</si>
  <si>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</si>
  <si>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</si>
  <si>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</si>
  <si>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</si>
  <si>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</si>
  <si>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</si>
  <si>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</si>
  <si>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</si>
  <si>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</si>
  <si>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</si>
  <si>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</si>
  <si>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</si>
  <si>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</si>
  <si>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</si>
  <si>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</si>
  <si>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</si>
  <si>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</si>
  <si>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</si>
  <si>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</si>
  <si>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</si>
  <si>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</si>
  <si>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</si>
  <si>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</si>
  <si>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</si>
  <si>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</si>
  <si>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</si>
  <si>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</si>
  <si>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</si>
  <si>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</si>
  <si>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</si>
  <si>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</si>
  <si>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</si>
  <si>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</si>
  <si>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</si>
  <si>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</si>
  <si>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</si>
  <si>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</si>
  <si>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</si>
  <si>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</si>
  <si>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</si>
  <si>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</si>
  <si>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</si>
  <si>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</si>
  <si>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</si>
  <si>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</si>
  <si>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</si>
  <si>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</si>
  <si>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</si>
  <si>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</si>
  <si>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</si>
  <si>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</si>
  <si>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</si>
  <si>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</si>
  <si>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</si>
  <si>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</si>
  <si>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</si>
  <si>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</si>
  <si>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</si>
  <si>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</si>
  <si>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</si>
  <si>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</si>
  <si>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</si>
  <si>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</si>
  <si>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</si>
  <si>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</si>
  <si>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</si>
  <si>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</si>
  <si>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</si>
  <si>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</si>
  <si>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</si>
  <si>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</si>
  <si>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</si>
  <si>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</si>
  <si>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</si>
  <si>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</si>
  <si>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</si>
  <si>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</si>
  <si>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</si>
  <si>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</si>
  <si>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</si>
  <si>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</si>
  <si>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</si>
  <si>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</si>
  <si>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</si>
  <si>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</si>
  <si>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</si>
  <si>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</si>
  <si>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</si>
  <si>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</si>
  <si>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</si>
  <si>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</si>
  <si>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</si>
  <si>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</si>
  <si>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</si>
  <si>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</si>
  <si>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</si>
  <si>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</si>
  <si>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</si>
  <si>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</si>
  <si>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</si>
  <si>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</si>
  <si>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</si>
  <si>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</si>
  <si>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</si>
  <si>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</si>
  <si>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</si>
  <si>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</si>
  <si>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</si>
  <si>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</si>
  <si>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</si>
  <si>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</si>
  <si>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</si>
  <si>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</si>
  <si>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</si>
  <si>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</si>
  <si>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</si>
  <si>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</si>
  <si>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</si>
  <si>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</si>
  <si>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</si>
  <si>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</si>
  <si>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</si>
  <si>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</si>
  <si>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</si>
  <si>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</si>
  <si>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</si>
  <si>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</si>
  <si>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</si>
  <si>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</si>
  <si>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</si>
  <si>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</si>
  <si>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</si>
  <si>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</si>
  <si>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</si>
  <si>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</si>
  <si>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</si>
  <si>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</si>
  <si>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</si>
  <si>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</si>
  <si>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</si>
  <si>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</si>
  <si>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</si>
  <si>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</si>
  <si>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</si>
  <si>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</si>
  <si>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</si>
  <si>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</si>
  <si>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</si>
  <si>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</si>
  <si>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</si>
  <si>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</si>
  <si>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</si>
  <si>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</si>
  <si>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</si>
  <si>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</si>
  <si>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</si>
  <si>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</si>
  <si>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</si>
  <si>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</si>
  <si>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</si>
  <si>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</si>
  <si>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</si>
  <si>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</si>
  <si>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</si>
  <si>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</si>
  <si>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</si>
  <si>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</si>
  <si>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</si>
  <si>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</si>
  <si>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</si>
  <si>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</si>
  <si>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</si>
  <si>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</si>
  <si>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</si>
  <si>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</si>
  <si>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</si>
  <si>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</si>
  <si>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</si>
  <si>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</si>
  <si>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</si>
  <si>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</si>
  <si>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</si>
  <si>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</si>
  <si>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</si>
  <si>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</si>
  <si>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</si>
  <si>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</si>
  <si>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</si>
  <si>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</si>
  <si>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</si>
  <si>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</si>
  <si>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</si>
  <si>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</si>
  <si>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</si>
  <si>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</si>
  <si>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</si>
  <si>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</si>
  <si>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</si>
  <si>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</si>
  <si>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</si>
  <si>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</si>
  <si>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</si>
  <si>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</si>
  <si>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</si>
  <si>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</si>
  <si>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</si>
  <si>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</si>
  <si>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</si>
  <si>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</si>
  <si>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</si>
  <si>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</si>
  <si>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</si>
  <si>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</si>
  <si>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</si>
  <si>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</si>
  <si>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</si>
  <si>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</si>
  <si>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</si>
  <si>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</si>
  <si>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</si>
  <si>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</si>
  <si>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</si>
  <si>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</si>
  <si>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</si>
  <si>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</si>
  <si>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</si>
  <si>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</si>
  <si>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</si>
  <si>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</si>
  <si>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</si>
  <si>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</si>
  <si>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</si>
  <si>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</si>
  <si>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</si>
  <si>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</si>
  <si>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</si>
  <si>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</si>
  <si>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</si>
  <si>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</si>
  <si>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</si>
  <si>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</si>
  <si>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</si>
  <si>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</si>
  <si>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</si>
  <si>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</si>
  <si>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</si>
  <si>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</si>
  <si>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</si>
  <si>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</si>
  <si>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</si>
  <si>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</si>
  <si>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</si>
  <si>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</si>
  <si>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</si>
  <si>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</si>
  <si>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</si>
  <si>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</si>
  <si>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</si>
  <si>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</si>
  <si>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</si>
  <si>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</si>
  <si>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</si>
  <si>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</si>
  <si>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</si>
  <si>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</si>
  <si>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</si>
  <si>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</si>
  <si>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</si>
  <si>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</si>
  <si>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</si>
  <si>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</si>
  <si>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</si>
  <si>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</si>
  <si>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</si>
  <si>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</si>
  <si>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</si>
  <si>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</si>
  <si>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</si>
  <si>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</si>
  <si>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</si>
  <si>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</si>
  <si>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</si>
  <si>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</si>
  <si>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</si>
  <si>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</si>
  <si>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</si>
  <si>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</si>
  <si>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</si>
  <si>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</si>
  <si>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</si>
  <si>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</si>
  <si>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</si>
  <si>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</si>
  <si>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</si>
  <si>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</si>
  <si>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</si>
  <si>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</si>
  <si>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</si>
  <si>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</si>
  <si>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</si>
  <si>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</si>
  <si>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</si>
  <si>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</si>
  <si>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</si>
  <si>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</si>
  <si>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</si>
  <si>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</si>
  <si>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</si>
  <si>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</si>
  <si>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</si>
  <si>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</si>
  <si>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</si>
  <si>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</si>
  <si>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</si>
  <si>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</si>
  <si>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</si>
  <si>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</si>
  <si>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</si>
  <si>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</si>
  <si>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</si>
  <si>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</si>
  <si>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</si>
  <si>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</si>
  <si>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</si>
  <si>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</si>
  <si>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</si>
  <si>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</si>
  <si>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</si>
  <si>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</si>
  <si>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</si>
  <si>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</si>
  <si>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</si>
  <si>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</si>
  <si>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</si>
  <si>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</si>
  <si>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</si>
  <si>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</si>
  <si>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</si>
  <si>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</si>
  <si>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</si>
  <si>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</si>
  <si>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</si>
  <si>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</si>
  <si>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</si>
  <si>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</si>
  <si>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</si>
  <si>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</si>
  <si>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</si>
  <si>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</si>
  <si>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</si>
  <si>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</si>
  <si>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</si>
  <si>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</si>
  <si>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</si>
  <si>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</si>
  <si>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</si>
  <si>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</si>
  <si>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</si>
  <si>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</si>
  <si>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</si>
  <si>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</si>
  <si>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</si>
  <si>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</si>
  <si>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</si>
  <si>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</si>
  <si>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</si>
  <si>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</si>
  <si>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</si>
  <si>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</si>
  <si>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</si>
  <si>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</si>
  <si>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</si>
  <si>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</si>
  <si>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</si>
  <si>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</si>
  <si>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</si>
  <si>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</si>
  <si>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</si>
  <si>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</si>
  <si>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</si>
  <si>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</si>
  <si>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</si>
  <si>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</si>
  <si>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</si>
  <si>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</si>
  <si>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</si>
  <si>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</si>
  <si>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</si>
  <si>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</si>
  <si>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</si>
  <si>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</si>
  <si>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</si>
  <si>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</si>
  <si>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</si>
  <si>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</si>
  <si>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</si>
  <si>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</si>
  <si>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</si>
  <si>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</si>
  <si>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</si>
  <si>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</si>
  <si>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</si>
  <si>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</si>
  <si>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</si>
  <si>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</si>
  <si>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</si>
  <si>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</si>
  <si>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</si>
  <si>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</si>
  <si>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</si>
  <si>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</si>
  <si>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</si>
  <si>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</si>
  <si>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</si>
  <si>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</si>
  <si>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</si>
  <si>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</si>
  <si>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</si>
  <si>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</si>
  <si>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</si>
  <si>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</si>
  <si>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</si>
  <si>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</si>
  <si>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</si>
  <si>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</si>
  <si>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</si>
  <si>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</si>
  <si>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</si>
  <si>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</si>
  <si>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</si>
  <si>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</si>
  <si>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</si>
  <si>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</si>
  <si>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</si>
  <si>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</si>
  <si>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</si>
  <si>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</si>
  <si>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</si>
  <si>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</si>
  <si>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</si>
  <si>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</si>
  <si>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</si>
  <si>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</si>
  <si>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</si>
  <si>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</si>
  <si>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</si>
  <si>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</si>
  <si>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</si>
  <si>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</si>
  <si>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</si>
  <si>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</si>
  <si>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</si>
  <si>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</si>
  <si>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</si>
  <si>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</si>
  <si>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</si>
  <si>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</si>
  <si>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</si>
  <si>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</si>
  <si>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</si>
  <si>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</si>
  <si>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</si>
  <si>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</si>
  <si>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</si>
  <si>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</si>
  <si>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</si>
  <si>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</si>
  <si>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</si>
  <si>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</si>
  <si>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</si>
  <si>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</si>
  <si>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</si>
  <si>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</si>
  <si>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</si>
  <si>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</si>
  <si>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</si>
  <si>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</si>
  <si>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</si>
  <si>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</si>
  <si>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</si>
  <si>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</si>
  <si>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</si>
  <si>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</si>
  <si>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</si>
  <si>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</si>
  <si>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</si>
  <si>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</si>
  <si>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</si>
  <si>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</si>
  <si>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</si>
  <si>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</si>
  <si>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</si>
  <si>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</si>
  <si>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</si>
  <si>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</si>
  <si>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</si>
  <si>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</si>
  <si>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</si>
  <si>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</si>
  <si>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</si>
  <si>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</si>
  <si>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</si>
  <si>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</si>
  <si>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</si>
  <si>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</si>
  <si>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</si>
  <si>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</si>
  <si>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</si>
  <si>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</si>
  <si>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</si>
  <si>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</si>
  <si>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</si>
  <si>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</si>
  <si>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</si>
  <si>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</si>
  <si>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</si>
  <si>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</si>
  <si>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</si>
  <si>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</si>
  <si>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</si>
  <si>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</si>
  <si>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</si>
  <si>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</si>
  <si>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</si>
  <si>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</si>
  <si>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</si>
  <si>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</si>
  <si>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</si>
  <si>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</si>
  <si>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</si>
  <si>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</si>
  <si>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</si>
  <si>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</si>
  <si>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</si>
  <si>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</si>
  <si>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</si>
  <si>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</si>
  <si>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</si>
  <si>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</si>
  <si>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</si>
  <si>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</si>
  <si>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</si>
  <si>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</si>
  <si>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</si>
  <si>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</si>
  <si>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</si>
  <si>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</si>
  <si>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</si>
  <si>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</si>
  <si>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</si>
  <si>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</si>
  <si>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</si>
  <si>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</si>
  <si>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</si>
  <si>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</si>
  <si>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</si>
  <si>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</si>
  <si>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</si>
  <si>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</si>
  <si>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</si>
  <si>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</si>
  <si>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</si>
  <si>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</si>
  <si>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</si>
  <si>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</si>
  <si>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</si>
  <si>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</si>
  <si>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</si>
  <si>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</si>
  <si>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</si>
  <si>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</si>
  <si>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</si>
  <si>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</si>
  <si>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</si>
  <si>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</si>
  <si>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</si>
  <si>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</si>
  <si>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</si>
  <si>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</si>
  <si>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</si>
  <si>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</si>
  <si>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</si>
  <si>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</si>
  <si>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</si>
  <si>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</si>
  <si>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</si>
  <si>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</si>
  <si>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</si>
  <si>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</si>
  <si>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</si>
  <si>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</si>
  <si>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</si>
  <si>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</si>
  <si>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</si>
  <si>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</si>
  <si>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</si>
  <si>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</si>
  <si>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</si>
  <si>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</si>
  <si>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</si>
  <si>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</si>
  <si>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</si>
  <si>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</si>
  <si>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</si>
  <si>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</si>
  <si>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</si>
  <si>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</si>
  <si>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</si>
  <si>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</si>
  <si>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</si>
  <si>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</si>
  <si>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</si>
  <si>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</si>
  <si>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</si>
  <si>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</si>
  <si>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</si>
  <si>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</si>
  <si>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</si>
  <si>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</si>
  <si>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</si>
  <si>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</si>
  <si>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</si>
  <si>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</si>
  <si>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</si>
  <si>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</si>
  <si>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</si>
  <si>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</si>
  <si>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</si>
  <si>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</si>
  <si>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</si>
  <si>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</si>
  <si>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</si>
  <si>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</si>
  <si>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</si>
  <si>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</si>
  <si>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</si>
  <si>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</si>
  <si>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</si>
  <si>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</si>
  <si>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</si>
  <si>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</si>
  <si>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</si>
  <si>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</si>
  <si>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</si>
  <si>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</si>
  <si>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</si>
  <si>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</si>
  <si>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</si>
  <si>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</si>
  <si>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</si>
  <si>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</si>
  <si>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</si>
  <si>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</si>
  <si>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</si>
  <si>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</si>
  <si>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</si>
  <si>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</si>
  <si>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</si>
  <si>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</si>
  <si>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</si>
  <si>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</si>
  <si>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</si>
  <si>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</si>
  <si>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</si>
  <si>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</si>
  <si>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</si>
  <si>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</si>
  <si>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</si>
  <si>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</si>
  <si>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</si>
  <si>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</si>
  <si>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</si>
  <si>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</si>
  <si>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</si>
  <si>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</si>
  <si>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</si>
  <si>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</si>
  <si>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</si>
  <si>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</si>
  <si>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</si>
  <si>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</si>
  <si>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</si>
  <si>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</si>
  <si>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</si>
  <si>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</si>
  <si>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</si>
  <si>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</si>
  <si>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</si>
  <si>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</si>
  <si>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</si>
  <si>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</si>
  <si>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</si>
  <si>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</si>
  <si>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</si>
  <si>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</si>
  <si>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</si>
  <si>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</si>
  <si>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</si>
  <si>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</si>
  <si>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</si>
  <si>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</si>
  <si>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</si>
  <si>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</si>
  <si>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</si>
  <si>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</si>
  <si>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</si>
  <si>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</si>
  <si>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</si>
  <si>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</si>
  <si>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</si>
  <si>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</si>
  <si>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</si>
  <si>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</si>
  <si>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</si>
  <si>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</si>
  <si>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</si>
  <si>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</si>
  <si>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</si>
  <si>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</si>
  <si>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</si>
  <si>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</si>
  <si>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</si>
  <si>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</si>
  <si>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</si>
  <si>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</si>
  <si>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</si>
  <si>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</si>
  <si>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</si>
  <si>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</si>
  <si>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</si>
  <si>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</si>
  <si>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</si>
  <si>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</si>
  <si>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</si>
  <si>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</si>
  <si>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</si>
  <si>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</si>
  <si>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</si>
  <si>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</si>
  <si>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</si>
  <si>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</si>
  <si>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</si>
  <si>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</si>
  <si>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</si>
  <si>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</si>
  <si>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</si>
  <si>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</si>
  <si>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</si>
  <si>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</si>
  <si>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</si>
  <si>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</si>
  <si>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</si>
  <si>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</si>
  <si>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</si>
  <si>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</si>
  <si>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</si>
  <si>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</si>
  <si>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</si>
  <si>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</si>
  <si>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</si>
  <si>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</si>
  <si>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</si>
  <si>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</si>
  <si>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</si>
  <si>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</si>
  <si>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</si>
  <si>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</si>
  <si>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</si>
  <si>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</si>
  <si>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</si>
  <si>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</si>
  <si>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</si>
  <si>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</si>
  <si>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</si>
  <si>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</si>
  <si>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</si>
  <si>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</si>
  <si>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</si>
  <si>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</si>
  <si>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</si>
  <si>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</si>
  <si>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</si>
  <si>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</si>
  <si>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</si>
  <si>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</si>
  <si>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</si>
  <si>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</si>
  <si>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</si>
  <si>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</si>
  <si>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</si>
  <si>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</si>
  <si>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</si>
  <si>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</si>
  <si>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</si>
  <si>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</si>
  <si>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</si>
  <si>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</si>
  <si>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</si>
  <si>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</si>
  <si>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</si>
  <si>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</si>
  <si>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</si>
  <si>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</si>
  <si>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</si>
  <si>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</si>
  <si>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</si>
  <si>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</si>
  <si>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</si>
  <si>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</si>
  <si>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</si>
  <si>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</si>
  <si>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</si>
  <si>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</si>
  <si>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</si>
  <si>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</si>
  <si>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</si>
  <si>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</si>
  <si>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</si>
  <si>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</si>
  <si>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</si>
  <si>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</si>
  <si>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</si>
  <si>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</si>
  <si>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</si>
  <si>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</si>
  <si>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</si>
  <si>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</si>
  <si>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</si>
  <si>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</si>
  <si>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</si>
  <si>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</si>
  <si>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</si>
  <si>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</si>
  <si>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</si>
  <si>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</si>
  <si>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</si>
  <si>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</si>
  <si>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</si>
  <si>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</si>
  <si>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</si>
  <si>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</si>
  <si>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</si>
  <si>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</si>
  <si>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</si>
  <si>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</si>
  <si>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</si>
  <si>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</si>
  <si>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</si>
  <si>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</si>
  <si>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</si>
  <si>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</si>
  <si>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</si>
  <si>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</si>
  <si>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</si>
  <si>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</si>
  <si>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</si>
  <si>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</si>
  <si>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</si>
  <si>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</si>
  <si>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</si>
  <si>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</si>
  <si>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</si>
  <si>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</si>
  <si>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</si>
  <si>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</si>
  <si>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</si>
  <si>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</si>
  <si>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</si>
  <si>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</si>
  <si>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</si>
  <si>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</si>
  <si>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</si>
  <si>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</si>
  <si>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</si>
  <si>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</si>
  <si>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</si>
  <si>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</si>
  <si>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</si>
  <si>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</si>
  <si>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</si>
  <si>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</si>
  <si>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</si>
  <si>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</si>
  <si>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</si>
  <si>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</si>
  <si>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</si>
  <si>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</si>
  <si>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</si>
  <si>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</si>
  <si>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</si>
  <si>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</si>
  <si>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</si>
  <si>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</si>
  <si>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</si>
  <si>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</si>
  <si>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</si>
  <si>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</si>
  <si>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</si>
  <si>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</si>
  <si>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</si>
  <si>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</si>
  <si>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</si>
  <si>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</si>
  <si>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</si>
  <si>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</si>
  <si>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</si>
  <si>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</si>
  <si>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</si>
  <si>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</si>
  <si>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</si>
  <si>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</si>
  <si>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</si>
  <si>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</si>
  <si>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</si>
  <si>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</si>
  <si>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</si>
  <si>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</si>
  <si>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</si>
  <si>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</si>
  <si>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</si>
  <si>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</si>
  <si>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</si>
  <si>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</si>
  <si>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</si>
  <si>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</si>
  <si>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</si>
  <si>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</si>
  <si>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</si>
  <si>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</si>
  <si>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</si>
  <si>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</si>
  <si>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</si>
  <si>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</si>
  <si>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</si>
  <si>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</si>
  <si>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</si>
  <si>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</si>
  <si>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</si>
  <si>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</si>
  <si>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</si>
  <si>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</si>
  <si>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</si>
  <si>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</si>
  <si>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</si>
  <si>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</si>
  <si>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</si>
  <si>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</si>
  <si>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</si>
  <si>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</si>
  <si>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</si>
  <si>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</si>
  <si>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</si>
  <si>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</si>
  <si>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</si>
  <si>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</si>
  <si>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</si>
  <si>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</si>
  <si>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</si>
  <si>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</si>
  <si>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</si>
  <si>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</si>
  <si>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</si>
  <si>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</si>
  <si>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</si>
  <si>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</si>
  <si>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</si>
  <si>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</si>
  <si>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</si>
  <si>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</si>
  <si>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</si>
  <si>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</si>
  <si>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</si>
  <si>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</si>
  <si>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</si>
  <si>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</si>
  <si>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</si>
  <si>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</si>
  <si>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</si>
  <si>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</si>
  <si>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</si>
  <si>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</si>
  <si>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</si>
  <si>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</si>
  <si>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</si>
  <si>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</si>
  <si>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</si>
  <si>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</si>
  <si>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</si>
  <si>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</si>
  <si>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</si>
  <si>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</si>
  <si>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</si>
  <si>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</si>
  <si>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</si>
  <si>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</si>
  <si>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</si>
  <si>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</si>
  <si>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</si>
  <si>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</si>
  <si>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</si>
  <si>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</si>
  <si>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</si>
  <si>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</si>
  <si>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</si>
  <si>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</si>
  <si>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</si>
  <si>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</si>
  <si>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</si>
  <si>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</si>
  <si>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</si>
  <si>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</si>
  <si>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</si>
  <si>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</si>
  <si>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</si>
  <si>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</si>
  <si>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</si>
  <si>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</si>
  <si>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</si>
  <si>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</si>
  <si>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</si>
  <si>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</si>
  <si>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</si>
  <si>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</si>
  <si>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</si>
  <si>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</si>
  <si>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</si>
  <si>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</si>
  <si>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</si>
  <si>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</si>
  <si>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</si>
  <si>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</si>
  <si>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</si>
  <si>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</si>
  <si>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</si>
  <si>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</si>
  <si>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</si>
  <si>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</si>
  <si>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</si>
  <si>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</si>
  <si>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</si>
  <si>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</si>
  <si>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</si>
  <si>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</si>
  <si>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</si>
  <si>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</si>
  <si>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</si>
  <si>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</si>
  <si>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</si>
  <si>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</si>
  <si>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</si>
  <si>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</si>
  <si>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</si>
  <si>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</si>
  <si>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</si>
  <si>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</si>
  <si>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</si>
  <si>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</si>
  <si>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</si>
  <si>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</si>
  <si>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</si>
  <si>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</si>
  <si>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</si>
  <si>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</si>
  <si>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</si>
  <si>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</si>
  <si>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</si>
  <si>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</si>
  <si>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</si>
  <si>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</si>
  <si>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</si>
  <si>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</si>
  <si>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</si>
  <si>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</si>
  <si>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</si>
  <si>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</si>
  <si>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</si>
  <si>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</si>
  <si>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</si>
  <si>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</si>
  <si>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</si>
  <si>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</si>
  <si>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</si>
  <si>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</si>
  <si>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</si>
  <si>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</si>
  <si>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</si>
  <si>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</si>
  <si>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</si>
  <si>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</si>
  <si>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</si>
  <si>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</si>
  <si>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</si>
  <si>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</si>
  <si>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</si>
  <si>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</si>
  <si>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</si>
  <si>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</si>
  <si>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</si>
  <si>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</si>
  <si>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</si>
  <si>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</si>
  <si>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</si>
  <si>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</si>
  <si>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</si>
  <si>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</si>
  <si>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</si>
  <si>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</si>
  <si>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</si>
  <si>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</si>
  <si>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</si>
  <si>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</si>
  <si>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</si>
  <si>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</si>
  <si>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</si>
  <si>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</si>
  <si>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</si>
  <si>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</si>
  <si>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</si>
  <si>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</si>
  <si>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</si>
  <si>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</si>
  <si>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</si>
  <si>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</si>
  <si>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</si>
  <si>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</si>
  <si>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</si>
  <si>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</si>
  <si>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</si>
  <si>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</si>
  <si>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</si>
  <si>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</si>
  <si>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</si>
  <si>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</si>
  <si>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</si>
  <si>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</si>
  <si>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</si>
  <si>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</si>
  <si>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</si>
  <si>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</si>
  <si>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</si>
  <si>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</si>
  <si>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</si>
  <si>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</si>
  <si>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</si>
  <si>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</si>
  <si>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</si>
  <si>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</si>
  <si>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</si>
  <si>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</si>
  <si>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</si>
  <si>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</si>
  <si>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</si>
  <si>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</si>
  <si>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</si>
  <si>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</si>
  <si>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</si>
  <si>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</si>
  <si>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</si>
  <si>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</si>
  <si>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</si>
  <si>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</si>
  <si>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</si>
  <si>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</si>
  <si>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</si>
  <si>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</si>
  <si>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</si>
  <si>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</si>
  <si>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</si>
  <si>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</si>
  <si>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</si>
  <si>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</si>
  <si>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</si>
  <si>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</si>
  <si>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</si>
  <si>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</si>
  <si>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</si>
  <si>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</si>
  <si>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</si>
  <si>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</si>
  <si>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</si>
  <si>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</si>
  <si>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</si>
  <si>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</si>
  <si>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</si>
  <si>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</si>
  <si>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</si>
  <si>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</si>
  <si>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</si>
  <si>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</si>
  <si>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</si>
  <si>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</si>
  <si>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</si>
  <si>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</si>
  <si>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</si>
  <si>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</si>
  <si>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</si>
  <si>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</si>
  <si>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</si>
  <si>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</si>
  <si>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</si>
  <si>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</si>
  <si>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</si>
  <si>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</si>
  <si>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</si>
  <si>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</si>
  <si>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</si>
  <si>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</si>
  <si>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</si>
  <si>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</si>
  <si>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</si>
  <si>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</si>
  <si>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</si>
  <si>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</si>
  <si>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</si>
  <si>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</si>
  <si>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</si>
  <si>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</si>
  <si>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</si>
  <si>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</si>
  <si>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</si>
  <si>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</si>
  <si>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</si>
  <si>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</si>
  <si>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</si>
  <si>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</si>
  <si>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</si>
  <si>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</si>
  <si>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</si>
  <si>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</si>
  <si>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</si>
  <si>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</si>
  <si>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</si>
  <si>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</si>
  <si>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</si>
  <si>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</si>
  <si>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</si>
  <si>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</si>
  <si>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</si>
  <si>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</si>
  <si>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</si>
  <si>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</si>
  <si>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</si>
  <si>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</si>
  <si>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</si>
  <si>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</si>
  <si>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</si>
  <si>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</si>
  <si>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</si>
  <si>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</si>
  <si>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</si>
  <si>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</si>
  <si>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</si>
  <si>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</si>
  <si>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</si>
  <si>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</si>
  <si>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</si>
  <si>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</si>
  <si>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</si>
  <si>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</si>
  <si>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</si>
  <si>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</si>
  <si>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</si>
  <si>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</si>
  <si>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</si>
  <si>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</si>
  <si>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</si>
  <si>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</si>
  <si>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</si>
  <si>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</si>
  <si>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</si>
  <si>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</si>
  <si>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</si>
  <si>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</si>
  <si>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</si>
  <si>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</si>
  <si>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</si>
  <si>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</si>
  <si>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</si>
  <si>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</si>
  <si>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</si>
  <si>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</si>
  <si>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</si>
  <si>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</si>
  <si>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</si>
  <si>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</si>
  <si>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</si>
  <si>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</si>
  <si>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</si>
  <si>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</si>
  <si>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</si>
  <si>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</si>
  <si>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</si>
  <si>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</si>
  <si>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</si>
  <si>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</si>
  <si>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</si>
  <si>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</si>
  <si>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</si>
  <si>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</si>
  <si>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</si>
  <si>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</si>
  <si>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</si>
  <si>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</si>
  <si>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</si>
  <si>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</si>
  <si>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</si>
  <si>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</si>
  <si>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</si>
  <si>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</si>
  <si>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</si>
  <si>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</si>
  <si>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</si>
  <si>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</si>
  <si>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</si>
  <si>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</si>
  <si>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</si>
  <si>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</si>
  <si>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</si>
  <si>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</si>
  <si>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</si>
  <si>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</si>
  <si>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</si>
  <si>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</si>
  <si>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</si>
  <si>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</si>
  <si>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</si>
  <si>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</si>
  <si>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</si>
  <si>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</si>
  <si>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</si>
  <si>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</si>
  <si>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</si>
  <si>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</si>
  <si>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</si>
  <si>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</si>
  <si>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</si>
  <si>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</si>
  <si>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</si>
  <si>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</si>
  <si>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</si>
  <si>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</si>
  <si>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</si>
  <si>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</si>
  <si>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</si>
  <si>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</si>
  <si>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</si>
  <si>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</si>
  <si>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</si>
  <si>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</si>
  <si>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</si>
  <si>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</si>
  <si>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</si>
  <si>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</si>
  <si>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</si>
  <si>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</si>
  <si>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</si>
  <si>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</si>
  <si>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</si>
  <si>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</si>
  <si>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</si>
  <si>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</si>
  <si>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</si>
  <si>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</si>
  <si>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</si>
  <si>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</si>
  <si>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</si>
  <si>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</si>
  <si>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</si>
  <si>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</si>
  <si>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</si>
  <si>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</si>
  <si>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</si>
  <si>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</si>
  <si>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</si>
  <si>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</si>
  <si>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</si>
  <si>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</si>
  <si>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</si>
  <si>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</si>
  <si>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</si>
  <si>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</si>
  <si>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</si>
  <si>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</si>
  <si>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</si>
  <si>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</si>
  <si>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</si>
  <si>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</si>
  <si>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</si>
  <si>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</si>
  <si>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</si>
  <si>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</si>
  <si>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</si>
  <si>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</si>
  <si>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</si>
  <si>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</si>
  <si>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</si>
  <si>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</si>
  <si>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</si>
  <si>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</si>
  <si>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</si>
  <si>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</si>
  <si>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</si>
  <si>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</si>
  <si>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</si>
  <si>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</si>
  <si>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</si>
  <si>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</si>
  <si>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</si>
  <si>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</si>
  <si>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</si>
  <si>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</si>
  <si>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</si>
  <si>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</si>
  <si>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</si>
  <si>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</si>
  <si>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</si>
  <si>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</si>
  <si>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</si>
  <si>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</si>
  <si>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</si>
  <si>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</si>
  <si>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</si>
  <si>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</si>
  <si>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</si>
  <si>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</si>
  <si>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</si>
  <si>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</si>
  <si>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</si>
  <si>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</si>
  <si>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</si>
  <si>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</si>
  <si>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</si>
  <si>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</si>
  <si>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</si>
  <si>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</si>
  <si>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</si>
  <si>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</si>
  <si>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</si>
  <si>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</si>
  <si>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</si>
  <si>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</si>
  <si>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</si>
  <si>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</si>
  <si>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</si>
  <si>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</si>
  <si>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</si>
  <si>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</si>
  <si>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</si>
  <si>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</si>
  <si>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</si>
  <si>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</si>
  <si>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</si>
  <si>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</si>
  <si>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</si>
  <si>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</si>
  <si>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</si>
  <si>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</si>
  <si>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</si>
  <si>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</si>
  <si>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</si>
  <si>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</si>
  <si>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</si>
  <si>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</si>
  <si>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</si>
  <si>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</si>
  <si>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</si>
  <si>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</si>
  <si>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</si>
  <si>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</si>
  <si>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</si>
  <si>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</si>
  <si>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</si>
  <si>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</si>
  <si>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</si>
  <si>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</si>
  <si>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</si>
  <si>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</si>
  <si>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</si>
  <si>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</si>
  <si>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</si>
  <si>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</si>
  <si>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</si>
  <si>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</si>
  <si>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</si>
  <si>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</si>
  <si>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</si>
  <si>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</si>
  <si>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</si>
  <si>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</si>
  <si>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</si>
  <si>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</si>
  <si>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</si>
  <si>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</si>
  <si>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</si>
  <si>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</si>
  <si>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</si>
  <si>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</si>
  <si>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</si>
  <si>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</si>
  <si>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</si>
  <si>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</si>
  <si>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</si>
  <si>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</si>
  <si>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</si>
  <si>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</si>
  <si>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</si>
  <si>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</si>
  <si>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</si>
  <si>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</si>
  <si>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</si>
  <si>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</si>
  <si>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</si>
  <si>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</si>
  <si>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</si>
  <si>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</si>
  <si>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</si>
  <si>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</si>
  <si>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</si>
  <si>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</si>
  <si>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</si>
  <si>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</si>
  <si>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</si>
  <si>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</si>
  <si>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</si>
  <si>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</si>
  <si>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</si>
  <si>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</si>
  <si>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</si>
  <si>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</si>
  <si>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</si>
  <si>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</si>
  <si>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</si>
  <si>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</si>
  <si>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</si>
  <si>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</si>
  <si>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</si>
  <si>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</si>
  <si>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</si>
  <si>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</si>
  <si>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</si>
  <si>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</si>
  <si>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</si>
  <si>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</si>
  <si>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</si>
  <si>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</si>
  <si>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</si>
  <si>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</si>
  <si>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</si>
  <si>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</si>
  <si>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</si>
  <si>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</si>
  <si>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</si>
  <si>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</si>
  <si>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</si>
  <si>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</si>
  <si>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</si>
  <si>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</si>
  <si>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</si>
  <si>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</si>
  <si>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</si>
  <si>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</si>
  <si>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</si>
  <si>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</si>
  <si>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</si>
  <si>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</si>
  <si>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</si>
  <si>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</si>
  <si>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</si>
  <si>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</si>
  <si>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</si>
  <si>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</si>
  <si>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</si>
  <si>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</si>
  <si>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</si>
  <si>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</si>
  <si>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</si>
  <si>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</si>
  <si>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</si>
  <si>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</si>
  <si>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</si>
  <si>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</si>
  <si>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</si>
  <si>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</si>
  <si>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</si>
  <si>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</si>
  <si>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</si>
  <si>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</si>
  <si>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</si>
  <si>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</si>
  <si>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</si>
  <si>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</si>
  <si>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</si>
  <si>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</si>
  <si>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</si>
  <si>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</si>
  <si>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</si>
  <si>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</si>
  <si>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</si>
  <si>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</si>
  <si>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</si>
  <si>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</si>
  <si>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</si>
  <si>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</si>
  <si>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</si>
  <si>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</si>
  <si>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</si>
  <si>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</si>
  <si>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</si>
  <si>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</si>
  <si>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</si>
  <si>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</si>
  <si>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</si>
  <si>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</si>
  <si>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</si>
  <si>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</si>
  <si>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</si>
  <si>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</si>
  <si>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</si>
  <si>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</si>
  <si>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</si>
  <si>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</si>
  <si>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</si>
  <si>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</si>
  <si>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</si>
  <si>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</si>
  <si>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</si>
  <si>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</si>
  <si>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</si>
  <si>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</si>
  <si>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</si>
  <si>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</si>
  <si>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</si>
  <si>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</si>
  <si>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</si>
  <si>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</si>
  <si>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</si>
  <si>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</si>
  <si>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</si>
  <si>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</si>
  <si>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</si>
  <si>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</si>
  <si>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</si>
  <si>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</si>
  <si>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</si>
  <si>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</si>
  <si>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</si>
  <si>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</si>
  <si>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</si>
  <si>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</si>
  <si>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</si>
  <si>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</si>
  <si>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</si>
  <si>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</si>
  <si>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</si>
  <si>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</si>
  <si>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</si>
  <si>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</si>
  <si>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</si>
  <si>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</si>
  <si>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</si>
  <si>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</si>
  <si>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</si>
  <si>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</si>
  <si>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</si>
  <si>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</si>
  <si>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</si>
  <si>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</si>
  <si>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</si>
  <si>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</si>
  <si>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</si>
  <si>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</si>
  <si>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</si>
  <si>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</si>
  <si>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</si>
  <si>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</si>
  <si>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</si>
  <si>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</si>
  <si>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</si>
  <si>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</si>
  <si>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</si>
  <si>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</si>
  <si>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</si>
  <si>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</si>
  <si>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</si>
  <si>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</si>
  <si>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</si>
  <si>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</si>
  <si>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</si>
  <si>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</si>
  <si>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</si>
  <si>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</si>
  <si>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</si>
  <si>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</si>
  <si>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</si>
  <si>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</si>
  <si>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</si>
  <si>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</si>
  <si>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</si>
  <si>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</si>
  <si>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</si>
  <si>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</si>
  <si>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</si>
  <si>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</si>
  <si>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</si>
  <si>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</si>
  <si>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</si>
  <si>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</si>
  <si>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</si>
  <si>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</si>
  <si>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</si>
  <si>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</si>
  <si>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</si>
  <si>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</si>
  <si>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</si>
  <si>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</si>
  <si>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</si>
  <si>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</si>
  <si>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</si>
  <si>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</si>
  <si>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</si>
  <si>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</si>
  <si>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</si>
  <si>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</si>
  <si>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</si>
  <si>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</si>
  <si>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</si>
  <si>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</si>
  <si>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</si>
  <si>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</si>
  <si>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</si>
  <si>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</si>
  <si>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</si>
  <si>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</si>
  <si>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</si>
  <si>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</si>
  <si>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</si>
  <si>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</si>
  <si>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</si>
  <si>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</si>
  <si>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</si>
  <si>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</si>
  <si>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</si>
  <si>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</si>
  <si>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</si>
  <si>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</si>
  <si>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</si>
  <si>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</si>
  <si>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</si>
  <si>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</si>
  <si>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</si>
  <si>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</si>
  <si>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</si>
  <si>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</si>
  <si>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</si>
  <si>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</si>
  <si>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</si>
  <si>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</si>
  <si>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</si>
  <si>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</si>
  <si>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</si>
  <si>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</si>
  <si>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</si>
  <si>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</si>
  <si>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</si>
  <si>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</si>
  <si>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</si>
  <si>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</si>
  <si>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</si>
  <si>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</si>
  <si>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</si>
  <si>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</si>
  <si>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</si>
  <si>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</si>
  <si>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</si>
  <si>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</si>
  <si>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</si>
  <si>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</si>
  <si>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</si>
  <si>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</si>
  <si>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</si>
  <si>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</si>
  <si>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</si>
  <si>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</si>
  <si>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</si>
  <si>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</si>
  <si>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</si>
  <si>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</si>
  <si>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</si>
  <si>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</si>
  <si>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</si>
  <si>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</si>
  <si>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</si>
  <si>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</si>
  <si>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</si>
  <si>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</si>
  <si>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</si>
  <si>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</si>
  <si>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</si>
  <si>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</si>
  <si>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</si>
  <si>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</si>
  <si>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</si>
  <si>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</si>
  <si>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</si>
  <si>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</si>
  <si>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</si>
  <si>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</si>
  <si>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</si>
  <si>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</si>
  <si>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</si>
  <si>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</si>
  <si>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</si>
  <si>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</si>
  <si>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</si>
  <si>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</si>
  <si>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</si>
  <si>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</si>
  <si>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</si>
  <si>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</si>
  <si>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</si>
  <si>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</si>
  <si>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</si>
  <si>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</si>
  <si>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</si>
  <si>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</si>
  <si>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</si>
  <si>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</si>
  <si>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</si>
  <si>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</si>
  <si>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</si>
  <si>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</si>
  <si>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</si>
  <si>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</si>
  <si>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</si>
  <si>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</si>
  <si>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</si>
  <si>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</si>
  <si>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</si>
  <si>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</si>
  <si>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</si>
  <si>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</si>
  <si>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</si>
  <si>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</si>
  <si>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</si>
  <si>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</si>
  <si>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</si>
  <si>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</si>
  <si>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</si>
  <si>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</si>
  <si>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</si>
  <si>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</si>
  <si>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</si>
  <si>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</si>
  <si>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</si>
  <si>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</si>
  <si>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</si>
  <si>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</si>
  <si>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</si>
  <si>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</si>
  <si>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</si>
  <si>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</si>
  <si>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</si>
  <si>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</si>
  <si>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</si>
  <si>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</si>
  <si>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</si>
  <si>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</si>
  <si>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</si>
  <si>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</si>
  <si>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</si>
  <si>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</si>
  <si>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</si>
  <si>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</si>
  <si>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</si>
  <si>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</si>
  <si>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</si>
  <si>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</si>
  <si>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</si>
  <si>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</si>
  <si>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</si>
  <si>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</si>
  <si>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</si>
  <si>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</si>
  <si>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</si>
  <si>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</si>
  <si>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</si>
  <si>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</si>
  <si>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</si>
  <si>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</si>
  <si>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</si>
  <si>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</si>
  <si>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</si>
  <si>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</si>
  <si>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</si>
  <si>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</si>
  <si>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</si>
  <si>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</si>
  <si>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</si>
  <si>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</si>
  <si>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</si>
  <si>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</si>
  <si>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</si>
  <si>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</si>
  <si>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</si>
  <si>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</si>
  <si>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</si>
  <si>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</si>
  <si>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</si>
  <si>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</si>
  <si>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</si>
  <si>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</si>
  <si>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</si>
  <si>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</si>
  <si>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</si>
  <si>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</si>
  <si>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</si>
  <si>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</si>
  <si>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</si>
  <si>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</si>
  <si>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</si>
  <si>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</si>
  <si>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</si>
  <si>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</si>
  <si>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</si>
  <si>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</si>
  <si>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</si>
  <si>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</si>
  <si>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</si>
  <si>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</si>
  <si>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</si>
  <si>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</si>
  <si>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</si>
  <si>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</si>
  <si>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</si>
  <si>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</si>
  <si>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</si>
  <si>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</si>
  <si>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</si>
  <si>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</si>
  <si>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</si>
  <si>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</si>
  <si>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</si>
  <si>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</si>
  <si>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</si>
  <si>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</si>
  <si>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</si>
  <si>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</si>
  <si>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</si>
  <si>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</si>
  <si>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</si>
  <si>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</si>
  <si>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</si>
  <si>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</si>
  <si>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</si>
  <si>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</si>
  <si>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</si>
  <si>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</si>
  <si>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</si>
  <si>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</si>
  <si>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</si>
  <si>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</si>
  <si>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</si>
  <si>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</si>
  <si>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</si>
  <si>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</si>
  <si>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</si>
  <si>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</si>
  <si>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</si>
  <si>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</si>
  <si>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</si>
  <si>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</si>
  <si>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</si>
  <si>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</si>
  <si>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</si>
  <si>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</si>
  <si>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</si>
  <si>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</si>
  <si>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</si>
  <si>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</si>
  <si>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</si>
  <si>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</si>
  <si>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</si>
  <si>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</si>
  <si>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</si>
  <si>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</si>
  <si>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</si>
  <si>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</si>
  <si>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</si>
  <si>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</si>
  <si>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</si>
  <si>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</si>
  <si>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</si>
  <si>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</si>
  <si>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</si>
  <si>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</si>
  <si>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</si>
  <si>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</si>
  <si>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</si>
  <si>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</si>
  <si>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</si>
  <si>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</si>
  <si>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</si>
  <si>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</si>
  <si>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</si>
  <si>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</si>
  <si>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</si>
  <si>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</si>
  <si>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</si>
  <si>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</si>
  <si>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</si>
  <si>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</si>
  <si>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</si>
  <si>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</si>
  <si>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</si>
  <si>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</si>
  <si>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</si>
  <si>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</si>
  <si>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</si>
  <si>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</si>
  <si>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</si>
  <si>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</si>
  <si>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</si>
  <si>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</si>
  <si>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</si>
  <si>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</si>
  <si>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</si>
  <si>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</si>
  <si>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</si>
  <si>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</si>
  <si>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</si>
  <si>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</si>
  <si>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</si>
  <si>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</si>
  <si>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</si>
  <si>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</si>
  <si>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</si>
  <si>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</si>
  <si>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</si>
  <si>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</si>
  <si>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</si>
  <si>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</si>
  <si>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</si>
  <si>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</si>
  <si>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</si>
  <si>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</si>
  <si>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</si>
  <si>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</si>
  <si>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</si>
  <si>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</si>
  <si>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</si>
  <si>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</si>
  <si>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</si>
  <si>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</si>
  <si>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</si>
  <si>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</si>
  <si>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</si>
  <si>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</si>
  <si>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</si>
  <si>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</si>
  <si>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</si>
  <si>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</si>
  <si>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</si>
  <si>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</si>
  <si>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</si>
  <si>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</si>
  <si>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</si>
  <si>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</si>
  <si>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</si>
  <si>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</si>
  <si>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</si>
  <si>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</si>
  <si>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</si>
  <si>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</si>
  <si>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</si>
  <si>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</si>
  <si>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</si>
  <si>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</si>
  <si>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</si>
  <si>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</si>
  <si>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</si>
  <si>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</si>
  <si>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</si>
  <si>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</si>
  <si>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</si>
  <si>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</si>
  <si>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</si>
  <si>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</si>
  <si>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</si>
  <si>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</si>
  <si>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</si>
  <si>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</si>
  <si>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</si>
  <si>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</si>
  <si>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</si>
  <si>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</si>
  <si>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</si>
  <si>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</si>
  <si>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</si>
  <si>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</si>
  <si>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</si>
  <si>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</si>
  <si>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</si>
  <si>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</si>
  <si>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</si>
  <si>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</si>
  <si>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</si>
  <si>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</si>
  <si>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</si>
  <si>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</si>
  <si>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</si>
  <si>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</si>
  <si>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</si>
  <si>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</si>
  <si>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</si>
  <si>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</si>
  <si>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</si>
  <si>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</si>
  <si>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</si>
  <si>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</si>
  <si>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</si>
  <si>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</si>
  <si>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</si>
  <si>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</si>
  <si>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</si>
  <si>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</si>
  <si>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</si>
  <si>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</si>
  <si>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</si>
  <si>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</si>
  <si>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</si>
  <si>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</si>
  <si>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</si>
  <si>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</si>
  <si>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</si>
  <si>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</si>
  <si>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</si>
  <si>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</si>
  <si>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</si>
  <si>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</si>
  <si>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</si>
  <si>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</si>
  <si>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</si>
  <si>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</si>
  <si>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</si>
  <si>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</si>
  <si>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</si>
  <si>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</si>
  <si>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</si>
  <si>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</si>
  <si>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</si>
  <si>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</si>
  <si>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</si>
  <si>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</si>
  <si>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</si>
  <si>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</si>
  <si>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</si>
  <si>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</si>
  <si>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</si>
  <si>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</si>
  <si>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</si>
  <si>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</si>
  <si>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</si>
  <si>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</si>
  <si>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</si>
  <si>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</si>
  <si>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</si>
  <si>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</si>
  <si>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</si>
  <si>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</si>
  <si>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</si>
  <si>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</si>
  <si>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</si>
  <si>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</si>
  <si>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</si>
  <si>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</si>
  <si>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</si>
  <si>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</si>
  <si>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</si>
  <si>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</si>
  <si>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</si>
  <si>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</si>
  <si>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</si>
  <si>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</si>
  <si>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</si>
  <si>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</si>
  <si>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</si>
  <si>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</si>
  <si>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</si>
  <si>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</si>
  <si>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</si>
  <si>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</si>
  <si>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</si>
  <si>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</si>
  <si>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</si>
  <si>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</si>
  <si>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</si>
  <si>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</si>
  <si>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</si>
  <si>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</si>
  <si>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</si>
  <si>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</si>
  <si>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</si>
  <si>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</si>
  <si>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</si>
  <si>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</si>
  <si>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</si>
  <si>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</si>
  <si>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</si>
  <si>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</si>
  <si>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</si>
  <si>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</si>
  <si>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</si>
  <si>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</si>
  <si>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</si>
  <si>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</si>
  <si>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</si>
  <si>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</si>
  <si>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</si>
  <si>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</si>
  <si>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</si>
  <si>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</si>
  <si>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</si>
  <si>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</si>
  <si>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</si>
  <si>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</si>
  <si>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</si>
  <si>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</si>
  <si>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</si>
  <si>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</si>
  <si>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</si>
  <si>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</si>
  <si>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</si>
  <si>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</si>
  <si>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</si>
  <si>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</si>
  <si>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</si>
  <si>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</si>
  <si>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</si>
  <si>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</si>
  <si>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</si>
  <si>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</si>
  <si>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</si>
  <si>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</si>
  <si>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</si>
  <si>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</si>
  <si>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</si>
  <si>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</si>
  <si>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</si>
  <si>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</si>
  <si>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</si>
  <si>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</si>
  <si>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</si>
  <si>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</si>
  <si>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</si>
  <si>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</si>
  <si>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</si>
  <si>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</si>
  <si>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</si>
  <si>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</si>
  <si>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</si>
  <si>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</si>
  <si>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</si>
  <si>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</si>
  <si>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</si>
  <si>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</si>
  <si>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</si>
  <si>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</si>
  <si>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</si>
  <si>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</si>
  <si>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</si>
  <si>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</si>
  <si>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</si>
  <si>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</si>
  <si>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</si>
  <si>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</si>
  <si>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</si>
  <si>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</si>
  <si>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</si>
  <si>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</si>
  <si>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</si>
  <si>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</si>
  <si>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</si>
  <si>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</si>
  <si>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</si>
  <si>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</si>
  <si>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</si>
  <si>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</si>
  <si>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</si>
  <si>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</si>
  <si>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</si>
  <si>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</si>
  <si>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</si>
  <si>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</si>
  <si>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</si>
  <si>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</si>
  <si>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</si>
  <si>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</si>
  <si>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</si>
  <si>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</si>
  <si>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</si>
  <si>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</si>
  <si>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</si>
  <si>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</si>
  <si>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</si>
  <si>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</si>
  <si>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</si>
  <si>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</si>
  <si>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</si>
  <si>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</si>
  <si>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</si>
  <si>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</si>
  <si>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</si>
  <si>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</si>
  <si>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</si>
  <si>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</si>
  <si>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</si>
  <si>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</si>
  <si>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</si>
  <si>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</si>
  <si>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</si>
  <si>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</si>
  <si>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</si>
  <si>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</si>
  <si>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</si>
  <si>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</si>
  <si>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</si>
  <si>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</si>
  <si>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</si>
  <si>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</si>
  <si>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</si>
  <si>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</si>
  <si>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</si>
  <si>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</si>
  <si>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</si>
  <si>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</si>
  <si>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</si>
  <si>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</si>
  <si>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</si>
  <si>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</si>
  <si>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</si>
  <si>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</si>
  <si>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</si>
  <si>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</si>
  <si>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</si>
  <si>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</si>
  <si>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</si>
  <si>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</si>
  <si>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</si>
  <si>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</si>
  <si>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</si>
  <si>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</si>
  <si>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</si>
  <si>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</si>
  <si>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</si>
  <si>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</si>
  <si>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</si>
  <si>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</si>
  <si>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</si>
  <si>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</si>
  <si>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</si>
  <si>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</si>
  <si>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</si>
  <si>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</si>
  <si>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</si>
  <si>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</si>
  <si>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</si>
  <si>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</si>
  <si>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</si>
  <si>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</si>
  <si>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</si>
  <si>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</si>
  <si>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</si>
  <si>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</si>
  <si>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</si>
  <si>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</si>
  <si>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</si>
  <si>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</si>
  <si>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</si>
  <si>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</si>
  <si>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</si>
  <si>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</si>
  <si>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</si>
  <si>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</si>
  <si>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</si>
  <si>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</si>
  <si>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</si>
  <si>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</si>
  <si>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</si>
  <si>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</si>
  <si>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</si>
  <si>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</si>
  <si>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</si>
  <si>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</si>
  <si>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</si>
  <si>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</si>
  <si>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</si>
  <si>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</si>
  <si>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</si>
  <si>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</si>
  <si>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</si>
  <si>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</si>
  <si>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</si>
  <si>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</si>
  <si>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</si>
  <si>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</si>
  <si>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</si>
  <si>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</si>
  <si>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</si>
  <si>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</si>
  <si>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</si>
  <si>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</si>
  <si>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</si>
  <si>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</si>
  <si>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</si>
  <si>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</si>
  <si>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</si>
  <si>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</si>
  <si>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</si>
  <si>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</si>
  <si>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</si>
  <si>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</si>
  <si>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</si>
  <si>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</si>
  <si>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</si>
  <si>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</si>
  <si>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</si>
  <si>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</si>
  <si>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</si>
  <si>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</si>
  <si>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</si>
  <si>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</si>
  <si>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</si>
  <si>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</si>
  <si>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</si>
  <si>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</si>
  <si>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</si>
  <si>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</si>
  <si>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</si>
  <si>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</si>
  <si>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</si>
  <si>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</si>
  <si>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</si>
  <si>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</si>
  <si>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</si>
  <si>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</si>
  <si>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</si>
  <si>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</si>
  <si>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</si>
  <si>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</si>
  <si>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</si>
  <si>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</si>
  <si>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</si>
  <si>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</si>
  <si>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</si>
  <si>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</si>
  <si>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</si>
  <si>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</si>
  <si>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</si>
  <si>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</si>
  <si>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</si>
  <si>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</si>
  <si>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</si>
  <si>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</si>
  <si>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</si>
  <si>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</si>
  <si>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</si>
  <si>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</si>
  <si>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</si>
  <si>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</si>
  <si>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</si>
  <si>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</si>
  <si>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</si>
  <si>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</si>
  <si>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</si>
  <si>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</si>
  <si>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</si>
  <si>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</si>
  <si>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</si>
  <si>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</si>
  <si>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</si>
  <si>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</si>
  <si>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</si>
  <si>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</si>
  <si>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</si>
  <si>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</si>
  <si>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</si>
  <si>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</si>
  <si>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</si>
  <si>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</si>
  <si>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</si>
  <si>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</si>
  <si>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</si>
  <si>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</si>
  <si>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</si>
  <si>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</si>
  <si>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</si>
  <si>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</si>
  <si>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</si>
  <si>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</si>
  <si>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</si>
  <si>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</si>
  <si>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</si>
  <si>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</si>
  <si>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</si>
  <si>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</si>
  <si>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</si>
  <si>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</si>
  <si>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</si>
  <si>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</si>
  <si>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</si>
  <si>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</si>
  <si>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</si>
  <si>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</si>
  <si>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</si>
  <si>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</si>
  <si>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</si>
  <si>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</si>
  <si>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</si>
  <si>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</si>
  <si>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</si>
  <si>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</si>
  <si>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</si>
  <si>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</si>
  <si>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</si>
  <si>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</si>
  <si>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</si>
  <si>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</si>
  <si>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</si>
  <si>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</si>
  <si>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</si>
  <si>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</si>
  <si>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</si>
  <si>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</si>
  <si>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</si>
  <si>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</si>
  <si>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</si>
  <si>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</si>
  <si>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</si>
  <si>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</si>
  <si>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</si>
  <si>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</si>
  <si>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</si>
  <si>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</si>
  <si>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</si>
  <si>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</si>
  <si>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</si>
  <si>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</si>
  <si>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</si>
  <si>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</si>
  <si>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</si>
  <si>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</si>
  <si>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</si>
  <si>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</si>
  <si>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</si>
  <si>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</si>
  <si>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</si>
  <si>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</si>
  <si>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</si>
  <si>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</si>
  <si>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</si>
  <si>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</si>
  <si>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</si>
  <si>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</si>
  <si>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</si>
  <si>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</si>
  <si>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</si>
  <si>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</si>
  <si>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</si>
  <si>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</si>
  <si>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</si>
  <si>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</si>
  <si>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</si>
  <si>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</si>
  <si>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</si>
  <si>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</si>
  <si>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</si>
  <si>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</si>
  <si>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</si>
  <si>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</si>
  <si>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</si>
  <si>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</si>
  <si>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</si>
  <si>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</si>
  <si>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</si>
  <si>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</si>
  <si>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</si>
  <si>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</si>
  <si>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</si>
  <si>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</si>
  <si>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</si>
  <si>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</si>
  <si>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</si>
  <si>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</si>
  <si>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</si>
  <si>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</si>
  <si>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</si>
  <si>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</si>
  <si>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</si>
  <si>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</si>
  <si>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</si>
  <si>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</si>
  <si>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</si>
  <si>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</si>
  <si>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</si>
  <si>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</si>
  <si>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</si>
  <si>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</si>
  <si>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</si>
  <si>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</si>
  <si>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</si>
  <si>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</si>
  <si>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</si>
  <si>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</si>
  <si>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</si>
  <si>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</si>
  <si>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</si>
  <si>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</si>
  <si>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</si>
  <si>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</si>
  <si>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</si>
  <si>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</si>
  <si>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</si>
  <si>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</si>
  <si>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</si>
  <si>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</si>
  <si>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</si>
  <si>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</si>
  <si>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</si>
  <si>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</si>
  <si>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</si>
  <si>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</si>
  <si>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</si>
  <si>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</si>
  <si>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</si>
  <si>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</si>
  <si>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</si>
  <si>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</si>
  <si>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</si>
  <si>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</si>
  <si>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</si>
  <si>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</si>
  <si>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</si>
  <si>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</si>
  <si>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</si>
  <si>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</si>
  <si>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</si>
  <si>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</si>
  <si>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</si>
  <si>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</si>
  <si>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</si>
  <si>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</si>
  <si>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</si>
  <si>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</si>
  <si>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</si>
  <si>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</si>
  <si>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</si>
  <si>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</si>
  <si>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</si>
  <si>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</si>
  <si>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</si>
  <si>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</si>
  <si>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</si>
  <si>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</si>
  <si>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</si>
  <si>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</si>
  <si>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</si>
  <si>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</si>
  <si>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</si>
  <si>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</si>
  <si>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</si>
  <si>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</si>
  <si>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</si>
  <si>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</si>
  <si>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</si>
  <si>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</si>
  <si>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</si>
  <si>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</si>
  <si>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</si>
  <si>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</si>
  <si>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</si>
  <si>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</si>
  <si>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</si>
  <si>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</si>
  <si>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</si>
  <si>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</si>
  <si>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</si>
  <si>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</si>
  <si>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</si>
  <si>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</si>
  <si>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</si>
  <si>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</si>
  <si>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</si>
  <si>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</si>
  <si>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</si>
  <si>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</si>
  <si>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</si>
  <si>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</si>
  <si>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</si>
  <si>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</si>
  <si>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</si>
  <si>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</si>
  <si>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</si>
  <si>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</si>
  <si>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</si>
  <si>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</si>
  <si>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</si>
  <si>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</si>
  <si>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</si>
  <si>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</si>
  <si>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</si>
  <si>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</si>
  <si>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</si>
  <si>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</si>
  <si>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</si>
  <si>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</si>
  <si>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</si>
  <si>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</si>
  <si>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</si>
  <si>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</si>
  <si>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</si>
  <si>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</si>
  <si>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</si>
  <si>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</si>
  <si>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</si>
  <si>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</si>
  <si>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</si>
  <si>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</si>
  <si>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</si>
  <si>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</si>
  <si>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</si>
  <si>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</si>
  <si>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</si>
  <si>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</si>
  <si>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</si>
  <si>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</si>
  <si>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</si>
  <si>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</si>
  <si>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</si>
  <si>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</si>
  <si>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</si>
  <si>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</si>
  <si>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</si>
  <si>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</si>
  <si>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</si>
  <si>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</si>
  <si>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</si>
  <si>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</si>
  <si>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</si>
  <si>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</si>
  <si>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</si>
  <si>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</si>
  <si>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</si>
  <si>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</si>
  <si>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</si>
  <si>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</si>
  <si>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</si>
  <si>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</si>
  <si>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</si>
  <si>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</si>
  <si>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</si>
  <si>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</si>
  <si>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</si>
  <si>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</si>
  <si>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</si>
  <si>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</si>
  <si>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</si>
  <si>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</si>
  <si>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</si>
  <si>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</si>
  <si>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</si>
  <si>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</si>
  <si>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</si>
  <si>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</si>
  <si>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</si>
  <si>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</si>
  <si>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</si>
  <si>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</si>
  <si>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</si>
  <si>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</si>
  <si>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</si>
  <si>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</si>
  <si>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</si>
  <si>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</si>
  <si>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</si>
  <si>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</si>
  <si>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</si>
  <si>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</si>
  <si>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</si>
  <si>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</si>
  <si>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</si>
  <si>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</si>
  <si>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</si>
  <si>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</si>
  <si>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</si>
  <si>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</si>
  <si>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</si>
  <si>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</si>
  <si>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</si>
  <si>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</si>
  <si>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</si>
  <si>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</si>
  <si>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</si>
  <si>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</si>
  <si>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</si>
  <si>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</si>
  <si>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</si>
  <si>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</si>
  <si>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</si>
  <si>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</si>
  <si>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</si>
  <si>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</si>
  <si>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</si>
  <si>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</si>
  <si>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</si>
  <si>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</si>
  <si>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</si>
  <si>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</si>
  <si>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</si>
  <si>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</si>
  <si>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</si>
  <si>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</si>
  <si>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</si>
  <si>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</si>
  <si>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</si>
  <si>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</si>
  <si>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</si>
  <si>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</si>
  <si>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</si>
  <si>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</si>
  <si>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</si>
  <si>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</si>
  <si>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</si>
  <si>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</si>
  <si>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</si>
  <si>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</si>
  <si>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</si>
  <si>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</si>
  <si>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</si>
  <si>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</si>
  <si>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</si>
  <si>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</si>
  <si>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</si>
  <si>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</si>
  <si>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</si>
  <si>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</si>
  <si>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</si>
  <si>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</si>
  <si>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</si>
  <si>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</si>
  <si>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</si>
  <si>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</si>
  <si>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</si>
  <si>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</si>
  <si>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</si>
  <si>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</si>
  <si>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</si>
  <si>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</si>
  <si>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</si>
  <si>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</si>
  <si>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</si>
  <si>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</si>
  <si>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</si>
  <si>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</si>
  <si>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</si>
  <si>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</si>
  <si>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</si>
  <si>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</si>
  <si>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</si>
  <si>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</si>
  <si>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</si>
  <si>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</si>
  <si>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</si>
  <si>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</si>
  <si>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</si>
  <si>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</si>
  <si>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</si>
  <si>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</si>
  <si>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</si>
  <si>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</si>
  <si>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</si>
  <si>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</si>
  <si>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</si>
  <si>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</si>
  <si>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</si>
  <si>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</si>
  <si>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</si>
  <si>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</si>
  <si>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</si>
  <si>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</si>
  <si>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</si>
  <si>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</si>
  <si>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</si>
  <si>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</si>
  <si>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</si>
  <si>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</si>
  <si>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</si>
  <si>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</si>
  <si>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</si>
  <si>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</si>
  <si>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</si>
  <si>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</si>
  <si>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</si>
  <si>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</si>
  <si>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</si>
  <si>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</si>
  <si>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</si>
  <si>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</si>
  <si>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</si>
  <si>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</si>
  <si>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</si>
  <si>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</si>
  <si>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</si>
  <si>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</si>
  <si>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</si>
  <si>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</si>
  <si>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</si>
  <si>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</si>
  <si>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</si>
  <si>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</si>
  <si>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</si>
  <si>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</si>
  <si>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</si>
  <si>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</si>
  <si>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</si>
  <si>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</si>
  <si>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</si>
  <si>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</si>
  <si>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</si>
  <si>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</si>
  <si>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</si>
  <si>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</si>
  <si>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</si>
  <si>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</si>
  <si>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</si>
  <si>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</si>
  <si>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</si>
  <si>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</si>
  <si>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</si>
  <si>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</si>
  <si>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</si>
  <si>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</si>
  <si>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</si>
  <si>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</si>
  <si>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</si>
  <si>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</si>
  <si>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</si>
  <si>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</si>
  <si>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</si>
  <si>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</si>
  <si>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</si>
  <si>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</si>
  <si>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</si>
  <si>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</si>
  <si>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</si>
  <si>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</si>
  <si>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</si>
  <si>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</si>
  <si>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</si>
  <si>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</si>
  <si>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</si>
  <si>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</si>
  <si>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</si>
  <si>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</si>
  <si>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</si>
  <si>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</si>
  <si>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</si>
  <si>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</si>
  <si>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</si>
  <si>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</si>
  <si>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</si>
  <si>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</si>
  <si>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</si>
  <si>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</si>
  <si>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</si>
  <si>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</si>
  <si>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</si>
  <si>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</si>
  <si>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</si>
  <si>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</si>
  <si>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</si>
  <si>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</si>
  <si>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</si>
  <si>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</si>
  <si>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</si>
  <si>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</si>
  <si>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</si>
  <si>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</si>
  <si>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</si>
  <si>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</si>
  <si>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</si>
  <si>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</si>
  <si>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</si>
  <si>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</si>
  <si>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</si>
  <si>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</si>
  <si>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</si>
  <si>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</si>
  <si>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</si>
  <si>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</si>
  <si>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</si>
  <si>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</si>
  <si>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</si>
  <si>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</si>
  <si>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</si>
  <si>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</si>
  <si>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</si>
  <si>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</si>
  <si>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</si>
  <si>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</si>
  <si>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</si>
  <si>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</si>
  <si>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</si>
  <si>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</si>
  <si>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</si>
  <si>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</si>
  <si>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</si>
  <si>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</si>
  <si>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</si>
  <si>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</si>
  <si>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</si>
  <si>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</si>
  <si>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</si>
  <si>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</si>
  <si>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</si>
  <si>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</si>
  <si>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</si>
  <si>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</si>
  <si>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</si>
  <si>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</si>
  <si>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</si>
  <si>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</si>
  <si>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</si>
  <si>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</si>
  <si>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</si>
  <si>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</si>
  <si>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</si>
  <si>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</si>
  <si>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</si>
  <si>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</si>
  <si>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</si>
  <si>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</si>
  <si>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</si>
  <si>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</si>
  <si>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</si>
  <si>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</si>
  <si>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</si>
  <si>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</si>
  <si>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</si>
  <si>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</si>
  <si>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</si>
  <si>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</si>
  <si>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</si>
  <si>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</si>
  <si>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</si>
  <si>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</si>
  <si>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</si>
  <si>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</si>
  <si>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</si>
  <si>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</si>
  <si>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</si>
  <si>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</si>
  <si>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</si>
  <si>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</si>
  <si>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</si>
  <si>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</si>
  <si>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</si>
  <si>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</si>
  <si>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</si>
  <si>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</si>
  <si>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</si>
  <si>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</si>
  <si>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</si>
  <si>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</si>
  <si>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</si>
  <si>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</si>
  <si>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</si>
  <si>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</si>
  <si>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</si>
  <si>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</si>
  <si>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</si>
  <si>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</si>
  <si>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</si>
  <si>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</si>
  <si>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</si>
  <si>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</si>
  <si>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</si>
  <si>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</si>
  <si>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</si>
  <si>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</si>
  <si>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</si>
  <si>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</si>
  <si>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</si>
  <si>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</si>
  <si>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</si>
  <si>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</si>
  <si>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</si>
  <si>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</si>
  <si>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</si>
  <si>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</si>
  <si>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</si>
  <si>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</si>
  <si>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</si>
  <si>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</si>
  <si>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</si>
  <si>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</si>
  <si>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</si>
  <si>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</si>
  <si>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</si>
  <si>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</si>
  <si>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</si>
  <si>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</si>
  <si>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</si>
  <si>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</si>
  <si>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</si>
  <si>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</si>
  <si>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</si>
  <si>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</si>
  <si>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</si>
  <si>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</si>
  <si>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</si>
  <si>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</si>
  <si>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</si>
  <si>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</si>
  <si>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</si>
  <si>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</si>
  <si>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</si>
  <si>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</si>
  <si>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</si>
  <si>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</si>
  <si>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</si>
  <si>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</si>
  <si>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</si>
  <si>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</si>
  <si>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</si>
  <si>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</si>
  <si>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</si>
  <si>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</si>
  <si>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</si>
  <si>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</si>
  <si>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</si>
  <si>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</si>
  <si>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</si>
  <si>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</si>
  <si>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</si>
  <si>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</si>
  <si>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</si>
  <si>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</si>
  <si>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</si>
  <si>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</si>
  <si>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</si>
  <si>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</si>
  <si>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</si>
  <si>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</si>
  <si>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</si>
  <si>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</si>
  <si>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</si>
  <si>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</si>
  <si>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</si>
  <si>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</si>
  <si>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</si>
  <si>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</si>
  <si>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</si>
  <si>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</si>
  <si>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</si>
  <si>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</si>
  <si>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</si>
  <si>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</si>
  <si>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</si>
  <si>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</si>
  <si>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</si>
  <si>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</si>
  <si>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</si>
  <si>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</si>
  <si>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</si>
  <si>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</si>
  <si>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</si>
  <si>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</si>
  <si>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</si>
  <si>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</si>
  <si>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</si>
  <si>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</si>
  <si>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</si>
  <si>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</si>
  <si>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</si>
  <si>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</si>
  <si>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</si>
  <si>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</si>
  <si>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</si>
  <si>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</si>
  <si>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</si>
  <si>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</si>
  <si>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</si>
  <si>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</si>
  <si>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</si>
  <si>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</si>
  <si>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</si>
  <si>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</si>
  <si>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</si>
  <si>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</si>
  <si>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</si>
  <si>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</si>
  <si>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</si>
  <si>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</si>
  <si>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</si>
  <si>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</si>
  <si>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</si>
  <si>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</si>
  <si>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</si>
  <si>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</si>
  <si>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</si>
  <si>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</si>
  <si>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</si>
  <si>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</si>
  <si>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</si>
  <si>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</si>
  <si>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</si>
  <si>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</si>
  <si>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</si>
  <si>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</si>
  <si>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</si>
  <si>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</si>
  <si>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</si>
  <si>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</si>
  <si>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</si>
  <si>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</si>
  <si>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</si>
  <si>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</si>
  <si>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</si>
  <si>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</si>
  <si>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</si>
  <si>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</si>
  <si>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</si>
  <si>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</si>
  <si>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</si>
  <si>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</si>
  <si>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</si>
  <si>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</si>
  <si>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</si>
  <si>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</si>
  <si>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</si>
  <si>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</si>
  <si>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</si>
  <si>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</si>
  <si>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</si>
  <si>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</si>
  <si>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</si>
  <si>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</si>
  <si>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</si>
  <si>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</si>
  <si>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</si>
  <si>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</si>
  <si>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</si>
  <si>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</si>
  <si>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</si>
  <si>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</si>
  <si>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</si>
  <si>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</si>
  <si>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</si>
  <si>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</si>
  <si>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</si>
  <si>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</si>
  <si>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</si>
  <si>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</si>
  <si>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</si>
  <si>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</si>
  <si>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</si>
  <si>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</si>
  <si>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</si>
  <si>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</si>
  <si>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</si>
  <si>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</si>
  <si>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</si>
  <si>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</si>
  <si>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</si>
  <si>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</si>
  <si>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</si>
  <si>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</si>
  <si>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</si>
  <si>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</si>
  <si>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</si>
  <si>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</si>
  <si>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</si>
  <si>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</si>
  <si>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</si>
  <si>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</si>
  <si>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</si>
  <si>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</si>
  <si>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</si>
  <si>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</si>
  <si>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</si>
  <si>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</si>
  <si>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</si>
  <si>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</si>
  <si>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</si>
  <si>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</si>
  <si>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</si>
  <si>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</si>
  <si>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</si>
  <si>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</si>
  <si>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</si>
  <si>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</si>
  <si>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</si>
  <si>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</si>
  <si>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</si>
  <si>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</si>
  <si>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</si>
  <si>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</si>
  <si>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</si>
  <si>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</si>
  <si>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</si>
  <si>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</si>
  <si>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</si>
  <si>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</si>
  <si>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</si>
  <si>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</si>
  <si>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</si>
  <si>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</si>
  <si>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</si>
  <si>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</si>
  <si>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</si>
  <si>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</si>
  <si>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</si>
  <si>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</si>
  <si>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</si>
  <si>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</si>
  <si>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</si>
  <si>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</si>
  <si>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</si>
  <si>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</si>
  <si>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</si>
  <si>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</si>
  <si>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</si>
  <si>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</si>
  <si>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</si>
  <si>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</si>
  <si>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</si>
  <si>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</si>
  <si>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</si>
  <si>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</si>
  <si>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</si>
  <si>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</si>
  <si>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</si>
  <si>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</si>
  <si>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</si>
  <si>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</si>
  <si>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</si>
  <si>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</si>
  <si>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</si>
  <si>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</si>
  <si>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</si>
  <si>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</si>
  <si>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</si>
  <si>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</si>
  <si>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</si>
  <si>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</si>
  <si>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</si>
  <si>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</si>
  <si>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</si>
  <si>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</si>
  <si>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</si>
  <si>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</si>
  <si>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</si>
  <si>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</si>
  <si>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</si>
  <si>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</si>
  <si>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</si>
  <si>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</si>
  <si>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</si>
  <si>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</si>
  <si>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</si>
  <si>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</si>
  <si>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</si>
  <si>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</si>
  <si>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</si>
  <si>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</si>
  <si>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</si>
  <si>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</si>
  <si>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</si>
  <si>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</si>
  <si>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</si>
  <si>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</si>
  <si>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</si>
  <si>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</si>
  <si>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</si>
  <si>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</si>
  <si>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</si>
  <si>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</si>
  <si>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</si>
  <si>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</si>
  <si>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</si>
  <si>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</si>
  <si>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</si>
  <si>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</si>
  <si>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</si>
  <si>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</si>
  <si>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</si>
  <si>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</si>
  <si>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</si>
  <si>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</si>
  <si>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</si>
  <si>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</si>
  <si>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</si>
  <si>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</si>
  <si>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</si>
  <si>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</si>
  <si>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</si>
  <si>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</si>
  <si>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</si>
  <si>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</si>
  <si>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</si>
  <si>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</si>
  <si>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</si>
  <si>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</si>
  <si>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</si>
  <si>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</si>
  <si>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</si>
  <si>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</si>
  <si>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</si>
  <si>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</si>
  <si>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</si>
  <si>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</si>
  <si>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</si>
  <si>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</si>
  <si>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</si>
  <si>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</si>
  <si>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</si>
  <si>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</si>
  <si>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</si>
  <si>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</si>
  <si>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</si>
  <si>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</si>
  <si>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</si>
  <si>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</si>
  <si>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</si>
  <si>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</si>
  <si>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</si>
  <si>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</si>
  <si>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</si>
  <si>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</si>
  <si>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</si>
  <si>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</si>
  <si>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</si>
  <si>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</si>
  <si>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</si>
  <si>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</si>
  <si>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</si>
  <si>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</si>
  <si>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</si>
  <si>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</si>
  <si>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</si>
  <si>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</si>
  <si>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</si>
  <si>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</si>
  <si>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</si>
  <si>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</si>
  <si>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</si>
  <si>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</si>
  <si>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</si>
  <si>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</si>
  <si>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</si>
  <si>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</si>
  <si>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</si>
  <si>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</si>
  <si>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</si>
  <si>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</si>
  <si>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</si>
  <si>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</si>
  <si>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</si>
  <si>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</si>
  <si>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</si>
  <si>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</si>
  <si>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</si>
  <si>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</si>
  <si>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</si>
  <si>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</si>
  <si>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</si>
  <si>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</si>
  <si>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</si>
  <si>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</si>
  <si>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</si>
  <si>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</si>
  <si>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</si>
  <si>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</si>
  <si>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</si>
  <si>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</si>
  <si>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</si>
  <si>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</si>
  <si>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</si>
  <si>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</si>
  <si>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</si>
  <si>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</si>
  <si>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</si>
  <si>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</si>
  <si>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</si>
  <si>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</si>
  <si>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</si>
  <si>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</si>
  <si>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</si>
  <si>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</si>
  <si>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</si>
  <si>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</si>
  <si>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</si>
  <si>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</si>
  <si>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</si>
  <si>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</si>
  <si>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</si>
  <si>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</si>
  <si>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</si>
  <si>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</si>
  <si>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</si>
  <si>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</si>
  <si>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</si>
  <si>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</si>
  <si>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</si>
  <si>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</si>
  <si>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</si>
  <si>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</si>
  <si>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</si>
  <si>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</si>
  <si>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</si>
  <si>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</si>
  <si>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</si>
  <si>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</si>
  <si>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</si>
  <si>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</si>
  <si>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</si>
  <si>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</si>
  <si>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</si>
  <si>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</si>
  <si>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</si>
  <si>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</si>
  <si>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</si>
  <si>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</si>
  <si>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</si>
  <si>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</si>
  <si>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</si>
  <si>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</si>
  <si>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</si>
  <si>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</si>
  <si>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</si>
  <si>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</si>
  <si>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</si>
  <si>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</si>
  <si>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</si>
  <si>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</si>
  <si>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</si>
  <si>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</si>
  <si>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</si>
  <si>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</si>
  <si>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</si>
  <si>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</si>
  <si>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</si>
  <si>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</si>
  <si>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</si>
  <si>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</si>
  <si>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</si>
  <si>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</si>
  <si>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</si>
  <si>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</si>
  <si>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</si>
  <si>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</si>
  <si>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</si>
  <si>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</si>
  <si>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</si>
  <si>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</si>
  <si>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</si>
  <si>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</si>
  <si>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</si>
  <si>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</si>
  <si>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</si>
  <si>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</si>
  <si>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</si>
  <si>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</si>
  <si>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</si>
  <si>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</si>
  <si>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</si>
  <si>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</si>
  <si>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</si>
  <si>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</si>
  <si>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</si>
  <si>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</si>
  <si>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</si>
  <si>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</si>
  <si>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</si>
  <si>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</si>
  <si>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</si>
  <si>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</si>
  <si>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</si>
  <si>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</si>
  <si>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</si>
  <si>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</si>
  <si>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</si>
  <si>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</si>
  <si>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</si>
  <si>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</si>
  <si>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</si>
  <si>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</si>
  <si>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</si>
  <si>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</si>
  <si>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</si>
  <si>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</si>
  <si>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</si>
  <si>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</si>
  <si>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</si>
  <si>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</si>
  <si>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</si>
  <si>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</si>
  <si>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</si>
  <si>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</si>
  <si>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</si>
  <si>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</si>
  <si>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</si>
  <si>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</si>
  <si>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</si>
  <si>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</si>
  <si>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</si>
  <si>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</si>
  <si>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</si>
  <si>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</si>
  <si>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</si>
  <si>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</si>
  <si>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</si>
  <si>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</si>
  <si>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</si>
  <si>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</si>
  <si>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</si>
  <si>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</si>
  <si>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</si>
  <si>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</si>
  <si>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</si>
  <si>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</si>
  <si>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</si>
  <si>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</si>
  <si>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</si>
  <si>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</si>
  <si>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</si>
  <si>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</si>
  <si>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</si>
  <si>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</si>
  <si>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</si>
  <si>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</si>
  <si>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</si>
  <si>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</si>
  <si>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</si>
  <si>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</si>
  <si>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</si>
  <si>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</si>
  <si>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</si>
  <si>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</si>
  <si>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</si>
  <si>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</si>
  <si>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</si>
  <si>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</si>
  <si>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</si>
  <si>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</si>
  <si>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</si>
  <si>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</si>
  <si>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</si>
  <si>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</si>
  <si>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</si>
  <si>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</si>
  <si>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</si>
  <si>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</si>
  <si>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</si>
  <si>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</si>
  <si>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</si>
  <si>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</si>
  <si>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</si>
  <si>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</si>
  <si>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</si>
  <si>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</si>
  <si>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</si>
  <si>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</si>
  <si>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</si>
  <si>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</si>
  <si>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</si>
  <si>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</si>
  <si>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</si>
  <si>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</si>
  <si>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</si>
  <si>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</si>
  <si>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</si>
  <si>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</si>
  <si>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</si>
  <si>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</si>
  <si>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</si>
  <si>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</si>
  <si>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</si>
  <si>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</si>
  <si>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</si>
  <si>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</si>
  <si>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</si>
  <si>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</si>
  <si>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</si>
  <si>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</si>
  <si>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</si>
  <si>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</si>
  <si>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</si>
  <si>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</si>
  <si>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</si>
  <si>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</si>
  <si>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</si>
  <si>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</si>
  <si>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</si>
  <si>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</si>
  <si>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</si>
  <si>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</si>
  <si>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</si>
  <si>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</si>
  <si>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</si>
  <si>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</si>
  <si>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</si>
  <si>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</si>
  <si>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</si>
  <si>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</si>
  <si>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</si>
  <si>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</si>
  <si>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</si>
  <si>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</si>
  <si>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</si>
  <si>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</si>
  <si>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</si>
  <si>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</si>
  <si>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</si>
  <si>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</si>
  <si>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</si>
  <si>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</si>
  <si>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</si>
  <si>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</si>
  <si>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</si>
  <si>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</si>
  <si>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</si>
  <si>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</si>
  <si>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</si>
  <si>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</si>
  <si>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</si>
  <si>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</si>
  <si>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</si>
  <si>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</si>
  <si>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</si>
  <si>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</si>
  <si>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</si>
  <si>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</si>
  <si>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</si>
  <si>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</si>
  <si>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</si>
  <si>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</si>
  <si>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</si>
  <si>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</si>
  <si>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</si>
  <si>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</si>
  <si>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</si>
  <si>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</si>
  <si>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</si>
  <si>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</si>
  <si>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</si>
  <si>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</si>
  <si>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</si>
  <si>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</si>
  <si>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</si>
  <si>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</si>
  <si>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</si>
  <si>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</si>
  <si>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</si>
  <si>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</si>
  <si>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</si>
  <si>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</si>
  <si>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</si>
  <si>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</si>
  <si>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</si>
  <si>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</si>
  <si>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</si>
  <si>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</si>
  <si>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</si>
  <si>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</si>
  <si>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</si>
  <si>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</si>
  <si>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</si>
  <si>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</si>
  <si>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</si>
  <si>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</si>
  <si>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</si>
  <si>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</si>
  <si>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</si>
  <si>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</si>
  <si>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</si>
  <si>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</si>
  <si>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</si>
  <si>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</si>
  <si>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</si>
  <si>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</si>
  <si>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</si>
  <si>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</si>
  <si>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</si>
  <si>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</si>
  <si>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</si>
  <si>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</si>
  <si>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</si>
  <si>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</si>
  <si>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</si>
  <si>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</si>
  <si>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</si>
  <si>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</si>
  <si>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</si>
  <si>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</si>
  <si>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</si>
  <si>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</si>
  <si>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</si>
  <si>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</si>
  <si>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</si>
  <si>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</si>
  <si>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</si>
  <si>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</si>
  <si>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</si>
  <si>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</si>
  <si>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</si>
  <si>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</si>
  <si>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</si>
  <si>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</si>
  <si>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</si>
  <si>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</si>
  <si>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</si>
  <si>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</si>
  <si>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</si>
  <si>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</si>
  <si>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</si>
  <si>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</si>
  <si>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</si>
  <si>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</si>
  <si>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</si>
  <si>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</si>
  <si>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</si>
  <si>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</si>
  <si>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</si>
  <si>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</si>
  <si>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</si>
  <si>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</si>
  <si>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</si>
  <si>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</si>
  <si>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</si>
  <si>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</si>
  <si>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</si>
  <si>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</si>
  <si>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</si>
  <si>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</si>
  <si>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</si>
  <si>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</si>
  <si>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</si>
  <si>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</si>
  <si>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</si>
  <si>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</si>
  <si>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</si>
  <si>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</si>
  <si>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</si>
  <si>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</si>
  <si>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</si>
  <si>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</si>
  <si>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</si>
  <si>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</si>
  <si>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</si>
  <si>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</si>
  <si>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</si>
  <si>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</si>
  <si>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</si>
  <si>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</si>
  <si>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</si>
  <si>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</si>
  <si>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</si>
  <si>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</si>
  <si>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</si>
  <si>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</si>
  <si>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</si>
  <si>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</si>
  <si>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</si>
  <si>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</si>
  <si>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</si>
  <si>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</si>
  <si>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</si>
  <si>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</si>
  <si>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</si>
  <si>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</si>
  <si>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</si>
  <si>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</si>
  <si>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</si>
  <si>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</si>
  <si>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</si>
  <si>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</si>
  <si>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</si>
  <si>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</si>
  <si>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</si>
  <si>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</si>
  <si>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</si>
  <si>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</si>
  <si>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</si>
  <si>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</si>
  <si>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</si>
  <si>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</si>
  <si>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</si>
  <si>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</si>
  <si>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</si>
  <si>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</si>
  <si>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</si>
  <si>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</si>
  <si>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</si>
  <si>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</si>
  <si>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</si>
  <si>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</si>
  <si>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</si>
  <si>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</si>
  <si>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</si>
  <si>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</si>
  <si>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</si>
  <si>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</si>
  <si>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</si>
  <si>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</si>
  <si>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</si>
  <si>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</si>
  <si>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</si>
  <si>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</si>
  <si>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</si>
  <si>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</si>
  <si>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</si>
  <si>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</si>
  <si>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</si>
  <si>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</si>
  <si>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</si>
  <si>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</si>
  <si>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</si>
  <si>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</si>
  <si>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</si>
  <si>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</si>
  <si>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</si>
  <si>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</si>
  <si>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</si>
  <si>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</si>
  <si>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</si>
  <si>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</si>
  <si>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</si>
  <si>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</si>
  <si>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</si>
  <si>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</si>
  <si>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</si>
  <si>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</si>
  <si>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</si>
  <si>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</si>
  <si>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</si>
  <si>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</si>
  <si>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</si>
  <si>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</si>
  <si>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</si>
  <si>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</si>
  <si>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</si>
  <si>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</si>
  <si>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</si>
  <si>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</si>
  <si>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</si>
  <si>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</si>
  <si>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</si>
  <si>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</si>
  <si>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</si>
  <si>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</si>
  <si>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</si>
  <si>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</si>
  <si>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</si>
  <si>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</si>
  <si>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</si>
  <si>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</si>
  <si>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</si>
  <si>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</si>
  <si>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</si>
  <si>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</si>
  <si>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</si>
  <si>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</si>
  <si>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</si>
  <si>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</si>
  <si>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</si>
  <si>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</si>
  <si>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</si>
  <si>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</si>
  <si>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</si>
  <si>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</si>
  <si>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</si>
  <si>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</si>
  <si>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</si>
  <si>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</si>
  <si>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</si>
  <si>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</si>
  <si>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</si>
  <si>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</si>
  <si>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</si>
  <si>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</si>
  <si>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</si>
  <si>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</si>
  <si>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</si>
  <si>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</si>
  <si>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</si>
  <si>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</si>
  <si>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</si>
  <si>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</si>
  <si>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</si>
  <si>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</si>
  <si>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</si>
  <si>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</si>
  <si>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</si>
  <si>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</si>
  <si>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</si>
  <si>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</si>
  <si>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</si>
  <si>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</si>
  <si>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</si>
  <si>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</si>
  <si>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</si>
  <si>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</si>
  <si>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</si>
  <si>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</si>
  <si>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</si>
  <si>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</si>
  <si>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</si>
  <si>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</si>
  <si>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</si>
  <si>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</si>
  <si>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</si>
  <si>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</si>
  <si>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</si>
  <si>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</si>
  <si>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</si>
  <si>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</si>
  <si>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</si>
  <si>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</si>
  <si>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</si>
  <si>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</si>
  <si>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</si>
  <si>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</si>
  <si>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</si>
  <si>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</si>
  <si>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</si>
  <si>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</si>
  <si>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</si>
  <si>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</si>
  <si>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</si>
  <si>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</si>
  <si>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</si>
  <si>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</si>
  <si>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</si>
  <si>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</si>
  <si>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</si>
  <si>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</si>
  <si>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</si>
  <si>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</si>
  <si>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</si>
  <si>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</si>
  <si>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</si>
  <si>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</si>
  <si>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</si>
  <si>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</si>
  <si>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</si>
  <si>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</si>
  <si>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</si>
  <si>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</si>
  <si>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</si>
  <si>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</si>
  <si>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</si>
  <si>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</si>
  <si>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</si>
  <si>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</si>
  <si>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</si>
  <si>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</si>
  <si>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</si>
  <si>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</si>
  <si>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</si>
  <si>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</si>
  <si>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</si>
  <si>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</si>
  <si>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</si>
  <si>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</si>
  <si>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</si>
  <si>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</si>
  <si>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</si>
  <si>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</si>
  <si>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</si>
  <si>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</si>
  <si>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</si>
  <si>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</si>
  <si>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</si>
  <si>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</si>
  <si>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</si>
  <si>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</si>
  <si>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</si>
  <si>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</si>
  <si>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</si>
  <si>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</si>
  <si>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</si>
  <si>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</si>
  <si>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</si>
  <si>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</si>
  <si>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</si>
  <si>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</si>
  <si>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</si>
  <si>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</si>
  <si>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</si>
  <si>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</si>
  <si>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</si>
  <si>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</si>
  <si>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</si>
  <si>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</si>
  <si>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</si>
  <si>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</si>
  <si>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</si>
  <si>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</si>
  <si>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</si>
  <si>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</si>
  <si>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</si>
  <si>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</si>
  <si>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</si>
  <si>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</si>
  <si>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</si>
  <si>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</si>
  <si>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</si>
  <si>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</si>
  <si>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</si>
  <si>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</si>
  <si>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</si>
  <si>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</si>
  <si>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</si>
  <si>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</si>
  <si>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</si>
  <si>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</si>
  <si>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</si>
  <si>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</si>
  <si>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</si>
  <si>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</si>
  <si>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</si>
  <si>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</si>
  <si>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</si>
  <si>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</si>
  <si>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</si>
  <si>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</si>
  <si>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</si>
  <si>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</si>
  <si>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</si>
  <si>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</si>
  <si>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</si>
  <si>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</si>
  <si>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</si>
  <si>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</si>
  <si>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</si>
  <si>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</si>
  <si>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</si>
  <si>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</si>
  <si>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</si>
  <si>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</si>
  <si>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</si>
  <si>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</si>
  <si>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</si>
  <si>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</si>
  <si>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</si>
  <si>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</si>
  <si>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</si>
  <si>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</si>
  <si>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</si>
  <si>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</si>
  <si>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</si>
  <si>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</si>
  <si>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</si>
  <si>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</si>
  <si>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</si>
  <si>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</si>
  <si>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</si>
  <si>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</si>
  <si>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</si>
  <si>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</si>
  <si>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</si>
  <si>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</si>
  <si>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</si>
  <si>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</si>
  <si>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</si>
  <si>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</si>
  <si>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</si>
  <si>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</si>
  <si>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</si>
  <si>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</si>
  <si>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</si>
  <si>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</si>
  <si>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</si>
  <si>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</si>
  <si>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</si>
  <si>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</si>
  <si>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</si>
  <si>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</si>
  <si>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</si>
  <si>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</si>
  <si>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</si>
  <si>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</si>
  <si>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</si>
  <si>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</si>
  <si>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</si>
  <si>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</si>
  <si>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</si>
  <si>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</si>
  <si>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</si>
  <si>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</si>
  <si>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</si>
  <si>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</si>
  <si>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</si>
  <si>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</si>
  <si>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</si>
  <si>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</si>
  <si>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</si>
  <si>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</si>
  <si>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</si>
  <si>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</si>
  <si>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</si>
  <si>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</si>
  <si>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</si>
  <si>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</si>
  <si>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</si>
  <si>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</si>
  <si>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</si>
  <si>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</si>
  <si>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</si>
  <si>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</si>
  <si>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</si>
  <si>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</si>
  <si>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</si>
  <si>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</si>
  <si>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</si>
  <si>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</si>
  <si>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</si>
  <si>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</si>
  <si>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</si>
  <si>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</si>
  <si>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</si>
  <si>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</si>
  <si>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</si>
  <si>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</si>
  <si>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</si>
  <si>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</si>
  <si>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</si>
  <si>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</si>
  <si>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</si>
  <si>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</si>
  <si>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</si>
  <si>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</si>
  <si>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</si>
  <si>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</si>
  <si>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</si>
  <si>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</si>
  <si>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</si>
  <si>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</si>
  <si>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</si>
  <si>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</si>
  <si>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</si>
  <si>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</si>
  <si>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</si>
  <si>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</si>
  <si>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</si>
  <si>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</si>
  <si>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</si>
  <si>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</si>
  <si>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</si>
  <si>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</si>
  <si>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</si>
  <si>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</si>
  <si>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</si>
  <si>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</si>
  <si>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</si>
  <si>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</si>
  <si>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</si>
  <si>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</si>
  <si>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</si>
  <si>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</si>
  <si>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</si>
  <si>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</si>
  <si>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</si>
  <si>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</si>
  <si>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</si>
  <si>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</si>
  <si>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</si>
  <si>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</si>
  <si>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</si>
  <si>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</si>
  <si>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</si>
  <si>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</si>
  <si>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</si>
  <si>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</si>
  <si>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</si>
  <si>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</si>
  <si>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</si>
  <si>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</si>
  <si>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</si>
  <si>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</si>
  <si>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</si>
  <si>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</si>
  <si>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</si>
  <si>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</si>
  <si>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</si>
  <si>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</si>
  <si>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</si>
  <si>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</si>
  <si>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</si>
  <si>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</si>
  <si>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</si>
  <si>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</si>
  <si>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</si>
  <si>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</si>
  <si>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</si>
  <si>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</si>
  <si>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</si>
  <si>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</si>
  <si>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</si>
  <si>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</si>
  <si>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</si>
  <si>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</si>
  <si>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</si>
  <si>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</si>
  <si>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</si>
  <si>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</si>
  <si>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</si>
  <si>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</si>
  <si>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</si>
  <si>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</si>
  <si>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</si>
  <si>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</si>
  <si>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</si>
  <si>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</si>
  <si>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</si>
  <si>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</si>
  <si>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</si>
  <si>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</si>
  <si>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</si>
  <si>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</si>
  <si>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</si>
  <si>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</si>
  <si>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</si>
  <si>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</si>
  <si>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</si>
  <si>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</si>
  <si>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</si>
  <si>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</si>
  <si>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</si>
  <si>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</si>
  <si>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</si>
  <si>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</si>
  <si>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</si>
  <si>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</si>
  <si>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</si>
  <si>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</si>
  <si>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</si>
  <si>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</si>
  <si>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</si>
  <si>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</si>
  <si>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</si>
  <si>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</si>
  <si>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</si>
  <si>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</si>
  <si>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</si>
  <si>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</si>
  <si>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</si>
  <si>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</si>
  <si>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</si>
  <si>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</si>
  <si>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</si>
  <si>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</si>
  <si>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</si>
  <si>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</si>
  <si>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</si>
  <si>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</si>
  <si>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</si>
  <si>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</si>
  <si>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</si>
  <si>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</si>
  <si>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</si>
  <si>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</si>
  <si>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</si>
  <si>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</si>
  <si>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</si>
  <si>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</si>
  <si>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</si>
  <si>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</si>
  <si>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</si>
  <si>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</si>
  <si>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</si>
  <si>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</si>
  <si>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</si>
  <si>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</si>
  <si>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</si>
  <si>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</si>
  <si>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</si>
  <si>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</si>
  <si>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</si>
  <si>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</si>
  <si>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</si>
  <si>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</si>
  <si>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</si>
  <si>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</si>
  <si>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</si>
  <si>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</si>
  <si>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</si>
  <si>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</si>
  <si>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</si>
  <si>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</si>
  <si>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</si>
  <si>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</si>
  <si>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</si>
  <si>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</si>
  <si>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</si>
  <si>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</si>
  <si>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</si>
  <si>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</si>
  <si>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</si>
  <si>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</si>
  <si>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</si>
  <si>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</si>
  <si>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</si>
  <si>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</si>
  <si>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</si>
  <si>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</si>
  <si>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</si>
  <si>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</si>
  <si>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</si>
  <si>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</si>
  <si>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</si>
  <si>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</si>
  <si>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</si>
  <si>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</si>
  <si>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</si>
  <si>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</si>
  <si>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</si>
  <si>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</si>
  <si>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</si>
  <si>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</si>
  <si>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</si>
  <si>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</si>
  <si>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</si>
  <si>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</si>
  <si>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</si>
  <si>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</si>
  <si>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</si>
  <si>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</si>
  <si>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</si>
  <si>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</si>
  <si>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</si>
  <si>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</si>
  <si>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</si>
  <si>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</si>
  <si>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</si>
  <si>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</si>
  <si>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</si>
  <si>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</si>
  <si>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</si>
  <si>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</si>
  <si>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</si>
  <si>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</si>
  <si>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</si>
  <si>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</si>
  <si>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</si>
  <si>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</si>
  <si>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</si>
  <si>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</si>
  <si>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</si>
  <si>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</si>
  <si>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</si>
  <si>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</si>
  <si>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</si>
  <si>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</si>
  <si>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</si>
  <si>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</si>
  <si>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</si>
  <si>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</si>
  <si>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</si>
  <si>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</si>
  <si>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</si>
  <si>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</si>
  <si>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</si>
  <si>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</si>
  <si>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</si>
  <si>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</si>
  <si>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</si>
  <si>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</si>
  <si>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</si>
  <si>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</si>
  <si>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</si>
  <si>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</si>
  <si>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</si>
  <si>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</si>
  <si>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</si>
  <si>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</si>
  <si>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</si>
  <si>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</si>
  <si>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</si>
  <si>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</si>
  <si>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</si>
  <si>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</si>
  <si>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</si>
  <si>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</si>
  <si>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</si>
  <si>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</si>
  <si>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</si>
  <si>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</si>
  <si>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</si>
  <si>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</si>
  <si>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</si>
  <si>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</si>
  <si>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</si>
  <si>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</si>
  <si>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</si>
  <si>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</si>
  <si>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</si>
  <si>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</si>
  <si>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</si>
  <si>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</si>
  <si>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</si>
  <si>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</si>
  <si>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</si>
  <si>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</si>
  <si>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</si>
  <si>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</si>
  <si>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</si>
  <si>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</si>
  <si>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</si>
  <si>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</si>
  <si>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</si>
  <si>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</si>
  <si>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</si>
  <si>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</si>
  <si>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</si>
  <si>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</si>
  <si>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</si>
  <si>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</si>
  <si>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</si>
  <si>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</si>
  <si>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</si>
  <si>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</si>
  <si>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</si>
  <si>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</si>
  <si>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</si>
  <si>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</si>
  <si>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</si>
  <si>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</si>
  <si>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</si>
  <si>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</si>
  <si>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</si>
  <si>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</si>
  <si>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</si>
  <si>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</si>
  <si>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</si>
  <si>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</si>
  <si>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</si>
  <si>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</si>
  <si>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</si>
  <si>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</si>
  <si>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</si>
  <si>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</si>
  <si>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</si>
  <si>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</si>
  <si>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</si>
  <si>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</si>
  <si>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</si>
  <si>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</si>
  <si>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</si>
  <si>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</si>
  <si>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</si>
  <si>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</si>
  <si>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</si>
  <si>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</si>
  <si>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</si>
  <si>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</si>
  <si>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</si>
  <si>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</si>
  <si>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</si>
  <si>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</si>
  <si>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</si>
  <si>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</si>
  <si>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</si>
  <si>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</si>
  <si>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</si>
  <si>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</si>
  <si>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</si>
  <si>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</si>
  <si>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</si>
  <si>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</si>
  <si>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</si>
  <si>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</si>
  <si>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</si>
  <si>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</si>
  <si>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</si>
  <si>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</si>
  <si>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</si>
  <si>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</si>
  <si>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</si>
  <si>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</si>
  <si>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</si>
  <si>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</si>
  <si>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</si>
  <si>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</si>
  <si>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</si>
  <si>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</si>
  <si>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</si>
  <si>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</si>
  <si>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</si>
  <si>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</si>
  <si>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</si>
  <si>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</si>
  <si>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</si>
  <si>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</si>
  <si>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</si>
  <si>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</si>
  <si>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</si>
  <si>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</si>
  <si>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</si>
  <si>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</si>
  <si>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</si>
  <si>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</si>
  <si>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</si>
  <si>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</si>
  <si>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</si>
  <si>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</si>
  <si>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</si>
  <si>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</si>
  <si>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</si>
  <si>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</si>
  <si>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</si>
  <si>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</si>
  <si>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</si>
  <si>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</si>
  <si>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</si>
  <si>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</si>
  <si>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</si>
  <si>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</si>
  <si>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</si>
  <si>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</si>
  <si>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</si>
  <si>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</si>
  <si>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</si>
  <si>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</si>
  <si>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</si>
  <si>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</si>
  <si>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</si>
  <si>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</si>
  <si>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</si>
  <si>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</si>
  <si>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</si>
  <si>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</si>
  <si>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</si>
  <si>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</si>
  <si>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</si>
  <si>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</si>
  <si>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</si>
  <si>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</si>
  <si>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</si>
  <si>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</si>
  <si>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</si>
  <si>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</si>
  <si>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</si>
  <si>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</si>
  <si>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</si>
  <si>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</si>
  <si>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</si>
  <si>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</si>
  <si>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</si>
  <si>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</si>
  <si>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</si>
  <si>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</si>
  <si>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</si>
  <si>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</si>
  <si>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</si>
  <si>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</si>
  <si>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</si>
  <si>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</si>
  <si>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</si>
  <si>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</si>
  <si>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</si>
  <si>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</si>
  <si>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</si>
  <si>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</si>
  <si>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</si>
  <si>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</si>
  <si>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</si>
  <si>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</si>
  <si>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</si>
  <si>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</si>
  <si>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</si>
  <si>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</si>
  <si>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</si>
  <si>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</si>
  <si>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</si>
  <si>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</si>
  <si>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</si>
  <si>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</si>
  <si>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</si>
  <si>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</si>
  <si>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</si>
  <si>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</si>
  <si>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</si>
  <si>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</si>
  <si>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</si>
  <si>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</si>
  <si>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</si>
  <si>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</si>
  <si>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</si>
  <si>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</si>
  <si>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</si>
  <si>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</si>
  <si>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</si>
  <si>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</si>
  <si>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</si>
  <si>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</si>
  <si>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</si>
  <si>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</si>
  <si>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</si>
  <si>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</si>
  <si>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</si>
  <si>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</si>
  <si>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</si>
  <si>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</si>
  <si>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</si>
  <si>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</si>
  <si>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</si>
  <si>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</si>
  <si>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</si>
  <si>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</si>
  <si>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</si>
  <si>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</si>
  <si>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</si>
  <si>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</si>
  <si>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</si>
  <si>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</si>
  <si>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</si>
  <si>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</si>
  <si>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</si>
  <si>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</si>
  <si>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</si>
  <si>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</si>
  <si>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</si>
  <si>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</si>
  <si>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</si>
  <si>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</si>
  <si>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</si>
  <si>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</si>
  <si>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</si>
  <si>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</si>
  <si>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</si>
  <si>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</si>
  <si>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</si>
  <si>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</si>
  <si>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</si>
  <si>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</si>
  <si>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</si>
  <si>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</si>
  <si>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</si>
  <si>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</si>
  <si>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</si>
  <si>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</si>
  <si>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</si>
  <si>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</si>
  <si>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</si>
  <si>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</si>
  <si>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</si>
  <si>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</si>
  <si>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</si>
  <si>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</si>
  <si>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</si>
  <si>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</si>
  <si>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</si>
  <si>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</si>
  <si>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</si>
  <si>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</si>
  <si>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</si>
  <si>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</si>
  <si>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</si>
  <si>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</si>
  <si>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</si>
  <si>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</si>
  <si>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</si>
  <si>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</si>
  <si>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</si>
  <si>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</si>
  <si>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</si>
  <si>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</si>
  <si>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</si>
  <si>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</si>
  <si>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</si>
  <si>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</si>
  <si>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</si>
  <si>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</si>
  <si>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</si>
  <si>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</si>
  <si>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</si>
  <si>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</si>
  <si>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</si>
  <si>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</si>
  <si>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</si>
  <si>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</si>
  <si>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</si>
  <si>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</si>
  <si>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</si>
  <si>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</si>
  <si>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</si>
  <si>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</si>
  <si>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</si>
  <si>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</si>
  <si>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</si>
  <si>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</si>
  <si>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</si>
  <si>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</si>
  <si>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</si>
  <si>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</si>
  <si>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</si>
  <si>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</si>
  <si>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</si>
  <si>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</si>
  <si>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</si>
  <si>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</si>
  <si>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</si>
  <si>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</si>
  <si>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</si>
  <si>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</si>
  <si>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</si>
  <si>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</si>
  <si>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</si>
  <si>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</si>
  <si>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</si>
  <si>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</si>
  <si>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</si>
  <si>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</si>
  <si>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</si>
  <si>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</si>
  <si>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</si>
  <si>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</si>
  <si>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</si>
  <si>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</si>
  <si>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</si>
  <si>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</si>
  <si>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</si>
  <si>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</si>
  <si>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</si>
  <si>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</si>
  <si>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</si>
  <si>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</si>
  <si>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</si>
  <si>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</si>
  <si>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</si>
  <si>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</si>
  <si>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</si>
  <si>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</si>
  <si>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</si>
  <si>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</si>
  <si>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</si>
  <si>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</si>
  <si>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</si>
  <si>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</si>
  <si>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</si>
  <si>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</si>
  <si>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</si>
  <si>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</si>
  <si>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</si>
  <si>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</si>
  <si>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</si>
  <si>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</si>
  <si>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</si>
  <si>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</si>
  <si>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</si>
  <si>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</si>
  <si>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</si>
  <si>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</si>
  <si>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</si>
  <si>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</si>
  <si>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</si>
  <si>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</si>
  <si>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</si>
  <si>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</si>
  <si>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</si>
  <si>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</si>
  <si>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</si>
  <si>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</si>
  <si>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</si>
  <si>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</si>
  <si>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</si>
  <si>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</si>
  <si>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</si>
  <si>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</si>
  <si>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</si>
  <si>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</si>
  <si>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</si>
  <si>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</si>
  <si>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</si>
  <si>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</si>
  <si>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</si>
  <si>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</si>
  <si>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</si>
  <si>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</si>
  <si>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</si>
  <si>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</si>
  <si>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</si>
  <si>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</si>
  <si>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</si>
  <si>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</si>
  <si>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</si>
  <si>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</si>
  <si>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</si>
  <si>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</si>
  <si>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</si>
  <si>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</si>
  <si>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</si>
  <si>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</si>
  <si>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</si>
  <si>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</si>
  <si>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</si>
  <si>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</si>
  <si>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</si>
  <si>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</si>
  <si>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</si>
  <si>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</si>
  <si>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</si>
  <si>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</si>
  <si>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</si>
  <si>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</si>
  <si>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</si>
  <si>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</si>
  <si>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</si>
  <si>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</si>
  <si>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</si>
  <si>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</si>
  <si>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</si>
  <si>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</si>
  <si>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</si>
  <si>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</si>
  <si>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</si>
  <si>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</si>
  <si>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</si>
  <si>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</si>
  <si>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</si>
  <si>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</si>
  <si>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</si>
  <si>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</si>
  <si>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</si>
  <si>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</si>
  <si>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</si>
  <si>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</si>
  <si>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</si>
  <si>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</si>
  <si>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</si>
  <si>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</si>
  <si>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</si>
  <si>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</si>
  <si>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</si>
  <si>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</si>
  <si>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</si>
  <si>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</si>
  <si>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</si>
  <si>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</si>
  <si>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</si>
  <si>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</si>
  <si>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</si>
  <si>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</si>
  <si>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</si>
  <si>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</si>
  <si>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</si>
  <si>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</si>
  <si>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</si>
  <si>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</si>
  <si>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</si>
  <si>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</si>
  <si>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</si>
  <si>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</si>
  <si>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</si>
  <si>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</si>
  <si>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</si>
  <si>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</si>
  <si>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</si>
  <si>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</si>
  <si>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</si>
  <si>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</si>
  <si>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</si>
  <si>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</si>
  <si>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</si>
  <si>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</si>
  <si>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</si>
  <si>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</si>
  <si>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</si>
  <si>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</si>
  <si>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</si>
  <si>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</si>
  <si>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</si>
  <si>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</si>
  <si>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</si>
  <si>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</si>
  <si>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</si>
  <si>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</si>
  <si>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</si>
  <si>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</si>
  <si>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</si>
  <si>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</si>
  <si>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</si>
  <si>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</si>
  <si>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</si>
  <si>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</si>
  <si>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</si>
  <si>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</si>
  <si>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</si>
  <si>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</si>
  <si>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</si>
  <si>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</si>
  <si>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</si>
  <si>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</si>
  <si>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</si>
  <si>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</si>
  <si>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</si>
  <si>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</si>
  <si>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</si>
  <si>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</si>
  <si>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</si>
  <si>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</si>
  <si>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</si>
  <si>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</si>
  <si>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</si>
  <si>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</si>
  <si>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</si>
  <si>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</si>
  <si>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</si>
  <si>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</si>
  <si>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</si>
  <si>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</si>
  <si>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</si>
  <si>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</si>
  <si>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</si>
  <si>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</si>
  <si>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</si>
  <si>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</si>
  <si>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</si>
  <si>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</si>
  <si>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</si>
  <si>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</si>
  <si>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</si>
  <si>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</si>
  <si>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</si>
  <si>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</si>
  <si>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</si>
  <si>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</si>
  <si>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</si>
  <si>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</si>
  <si>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</si>
  <si>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</si>
  <si>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</si>
  <si>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</si>
  <si>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</si>
  <si>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</si>
  <si>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</si>
  <si>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</si>
  <si>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</si>
  <si>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</si>
  <si>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</si>
  <si>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</si>
  <si>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</si>
  <si>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</si>
  <si>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</si>
  <si>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</si>
  <si>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</si>
  <si>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</si>
  <si>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</si>
  <si>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</si>
  <si>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</si>
  <si>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</si>
  <si>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</si>
  <si>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</si>
  <si>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</si>
  <si>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</si>
  <si>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</si>
  <si>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</si>
  <si>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</si>
  <si>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</si>
  <si>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</si>
  <si>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</si>
  <si>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</si>
  <si>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</si>
  <si>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</si>
  <si>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</si>
  <si>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</si>
  <si>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</si>
  <si>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</si>
  <si>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</si>
  <si>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</si>
  <si>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</si>
  <si>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</si>
  <si>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</si>
  <si>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</si>
  <si>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</si>
  <si>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</si>
  <si>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</si>
  <si>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</si>
  <si>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</si>
  <si>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</si>
  <si>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</si>
  <si>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</si>
  <si>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</si>
  <si>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</si>
  <si>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</si>
  <si>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</si>
  <si>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</si>
  <si>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</si>
  <si>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</si>
  <si>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</si>
  <si>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</si>
  <si>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</si>
  <si>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</si>
  <si>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</si>
  <si>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</si>
  <si>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</si>
  <si>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</si>
  <si>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</si>
  <si>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</si>
  <si>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</si>
  <si>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</si>
  <si>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</si>
  <si>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</si>
  <si>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</si>
  <si>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</si>
  <si>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</si>
  <si>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</si>
  <si>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</si>
  <si>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</si>
  <si>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</si>
  <si>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</si>
  <si>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</si>
  <si>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</si>
  <si>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</si>
  <si>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</si>
  <si>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</si>
  <si>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</si>
  <si>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</si>
  <si>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</si>
  <si>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</si>
  <si>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</si>
  <si>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</si>
  <si>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</si>
  <si>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</si>
  <si>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</si>
  <si>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</si>
  <si>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</si>
  <si>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</si>
  <si>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</si>
  <si>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</si>
  <si>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</si>
  <si>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</si>
  <si>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</si>
  <si>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</si>
  <si>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</si>
  <si>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</si>
  <si>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</si>
  <si>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</si>
  <si>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</si>
  <si>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</si>
  <si>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</si>
  <si>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</si>
  <si>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</si>
  <si>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</si>
  <si>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</si>
  <si>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</si>
  <si>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</si>
  <si>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</si>
  <si>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</si>
  <si>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</si>
  <si>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</si>
  <si>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</si>
  <si>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</si>
  <si>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</si>
  <si>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</si>
  <si>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</si>
  <si>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</si>
  <si>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</si>
  <si>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</si>
  <si>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</si>
  <si>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</si>
  <si>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</si>
  <si>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</si>
  <si>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</si>
  <si>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</si>
  <si>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</si>
  <si>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</si>
  <si>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</si>
  <si>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</si>
  <si>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</si>
  <si>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</si>
  <si>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</si>
  <si>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</si>
  <si>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</si>
  <si>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</si>
  <si>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</si>
  <si>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</si>
  <si>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</si>
  <si>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</si>
  <si>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</si>
  <si>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</si>
  <si>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</si>
  <si>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</si>
  <si>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</si>
  <si>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</si>
  <si>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</si>
  <si>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</si>
  <si>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</si>
  <si>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</si>
  <si>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</si>
  <si>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</si>
  <si>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</si>
  <si>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</si>
  <si>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</si>
  <si>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</si>
  <si>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</si>
  <si>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</si>
  <si>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</si>
  <si>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</si>
  <si>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</si>
  <si>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</si>
  <si>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</si>
  <si>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</si>
  <si>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</si>
  <si>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</si>
  <si>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</si>
  <si>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</si>
  <si>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</si>
  <si>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</si>
  <si>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</si>
  <si>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</si>
  <si>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</si>
  <si>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</si>
  <si>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</si>
  <si>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</si>
  <si>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</si>
  <si>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</si>
  <si>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</si>
  <si>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</si>
  <si>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</si>
  <si>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</si>
  <si>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</si>
  <si>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</si>
  <si>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</si>
  <si>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</si>
  <si>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</si>
  <si>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</si>
  <si>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</si>
  <si>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</si>
  <si>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</si>
  <si>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</si>
  <si>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</si>
  <si>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</si>
  <si>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</si>
  <si>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</si>
  <si>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</si>
  <si>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</si>
  <si>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</si>
  <si>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</si>
  <si>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</si>
  <si>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</si>
  <si>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</si>
  <si>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</si>
  <si>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</si>
  <si>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</si>
  <si>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</si>
  <si>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</si>
  <si>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</si>
  <si>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</si>
  <si>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</si>
  <si>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</si>
  <si>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</si>
  <si>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</si>
  <si>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</si>
  <si>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</si>
  <si>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</si>
  <si>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</si>
  <si>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</si>
  <si>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</si>
  <si>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</si>
  <si>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</si>
  <si>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</si>
  <si>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</si>
  <si>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</si>
  <si>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</si>
  <si>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</si>
  <si>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</si>
  <si>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</si>
  <si>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</si>
  <si>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</si>
  <si>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</si>
  <si>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</si>
  <si>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</si>
  <si>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</si>
  <si>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</si>
  <si>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</si>
  <si>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</si>
  <si>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</si>
  <si>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</si>
  <si>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</si>
  <si>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</si>
  <si>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</si>
  <si>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</si>
  <si>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</si>
  <si>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</si>
  <si>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</si>
  <si>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</si>
  <si>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</si>
  <si>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</si>
  <si>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</si>
  <si>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</si>
  <si>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</si>
  <si>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</si>
  <si>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</si>
  <si>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</si>
  <si>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</si>
  <si>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</si>
  <si>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</si>
  <si>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</si>
  <si>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</si>
  <si>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</si>
  <si>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</si>
  <si>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</si>
  <si>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</si>
  <si>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</si>
  <si>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</si>
  <si>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</si>
  <si>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</si>
  <si>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</si>
  <si>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</si>
  <si>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</si>
  <si>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</si>
  <si>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</si>
  <si>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</si>
  <si>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</si>
  <si>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</si>
  <si>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</si>
  <si>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</si>
  <si>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</si>
  <si>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</si>
  <si>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</si>
  <si>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</si>
  <si>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</si>
  <si>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</si>
  <si>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</si>
  <si>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</si>
  <si>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</si>
  <si>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</si>
  <si>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</si>
  <si>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</si>
  <si>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</si>
  <si>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</si>
  <si>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</si>
  <si>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</si>
  <si>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</si>
  <si>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</si>
  <si>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</si>
  <si>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</si>
  <si>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</si>
  <si>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</si>
  <si>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</si>
  <si>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</si>
  <si>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</si>
  <si>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</si>
  <si>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</si>
  <si>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</si>
  <si>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</si>
  <si>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</si>
  <si>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</si>
  <si>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</si>
  <si>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</si>
  <si>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</si>
  <si>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</si>
  <si>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</si>
  <si>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</si>
  <si>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</si>
  <si>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</si>
  <si>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</si>
  <si>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</si>
  <si>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</si>
  <si>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</si>
  <si>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</si>
  <si>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</si>
  <si>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</si>
  <si>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</si>
  <si>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</si>
  <si>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</si>
  <si>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</si>
  <si>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</si>
  <si>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</si>
  <si>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</si>
  <si>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</si>
  <si>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</si>
  <si>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</si>
  <si>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</si>
  <si>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</si>
  <si>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</si>
  <si>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</si>
  <si>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</si>
  <si>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</si>
  <si>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</si>
  <si>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</si>
  <si>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</si>
  <si>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</si>
  <si>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</si>
  <si>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</si>
  <si>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</si>
  <si>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</si>
  <si>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</si>
  <si>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</si>
  <si>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</si>
  <si>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</si>
  <si>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</si>
  <si>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</si>
  <si>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</si>
  <si>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</si>
  <si>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</si>
  <si>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</si>
  <si>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</si>
  <si>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</si>
  <si>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</si>
  <si>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</si>
  <si>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</si>
  <si>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</si>
  <si>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</si>
  <si>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</si>
  <si>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</si>
  <si>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</si>
  <si>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</si>
  <si>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</si>
  <si>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</si>
  <si>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</si>
  <si>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</si>
  <si>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</si>
  <si>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</si>
  <si>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</si>
  <si>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</si>
  <si>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</si>
  <si>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</si>
  <si>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</si>
  <si>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</si>
  <si>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</si>
  <si>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</si>
  <si>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</si>
  <si>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</si>
  <si>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</si>
  <si>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</si>
  <si>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</si>
  <si>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</si>
  <si>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</si>
  <si>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</si>
  <si>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</si>
  <si>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</si>
  <si>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</si>
  <si>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</si>
  <si>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</si>
  <si>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</si>
  <si>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</si>
  <si>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</si>
  <si>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</si>
  <si>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</si>
  <si>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</si>
  <si>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</si>
  <si>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</si>
  <si>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</si>
  <si>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</si>
  <si>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</si>
  <si>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</si>
  <si>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</si>
  <si>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</si>
  <si>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</si>
  <si>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</si>
  <si>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</si>
  <si>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</si>
  <si>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</si>
  <si>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</si>
  <si>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</si>
  <si>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</si>
  <si>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</si>
  <si>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</si>
  <si>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</si>
  <si>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</si>
  <si>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</si>
  <si>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</si>
  <si>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</si>
  <si>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</si>
  <si>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</si>
  <si>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</si>
  <si>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</si>
  <si>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</si>
  <si>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</si>
  <si>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</si>
  <si>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</si>
  <si>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</si>
  <si>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</si>
  <si>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</si>
  <si>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</si>
  <si>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</si>
  <si>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</si>
  <si>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</si>
  <si>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</si>
  <si>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</si>
  <si>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</si>
  <si>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</si>
  <si>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</si>
  <si>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</si>
  <si>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</si>
  <si>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</si>
  <si>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</si>
  <si>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</si>
  <si>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</si>
  <si>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</si>
  <si>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</si>
  <si>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</si>
  <si>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</si>
  <si>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</si>
  <si>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</si>
  <si>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</si>
  <si>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</si>
  <si>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</si>
  <si>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</si>
  <si>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</si>
  <si>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</si>
  <si>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</si>
  <si>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</si>
  <si>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</si>
  <si>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</si>
  <si>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</si>
  <si>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</si>
  <si>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</si>
  <si>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</si>
  <si>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</si>
  <si>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</si>
  <si>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</si>
  <si>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</si>
  <si>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</si>
  <si>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</si>
  <si>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</si>
  <si>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</si>
  <si>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</si>
  <si>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</si>
  <si>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</si>
  <si>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</si>
  <si>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</si>
  <si>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</si>
  <si>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</si>
  <si>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</si>
  <si>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</si>
  <si>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</si>
  <si>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</si>
  <si>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</si>
  <si>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</si>
  <si>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</si>
  <si>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</si>
  <si>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</si>
  <si>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</si>
  <si>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</si>
  <si>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</si>
  <si>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</si>
  <si>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</si>
  <si>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</si>
  <si>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</si>
  <si>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</si>
  <si>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</si>
  <si>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</si>
  <si>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</si>
  <si>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</si>
  <si>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</si>
  <si>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</si>
  <si>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</si>
  <si>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</si>
  <si>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</si>
  <si>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</si>
  <si>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</si>
  <si>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</si>
  <si>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</si>
  <si>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</si>
  <si>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</si>
  <si>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</si>
  <si>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</si>
  <si>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</si>
  <si>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</si>
  <si>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</si>
  <si>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</si>
  <si>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</si>
  <si>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</si>
  <si>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</si>
  <si>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</si>
  <si>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</si>
  <si>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</si>
  <si>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</si>
  <si>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</si>
  <si>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</si>
  <si>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</si>
  <si>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</si>
  <si>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</si>
  <si>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</si>
  <si>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</si>
  <si>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</si>
  <si>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</si>
  <si>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</si>
  <si>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</si>
  <si>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</si>
  <si>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</si>
  <si>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</si>
  <si>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</si>
  <si>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</si>
  <si>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</si>
  <si>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</si>
  <si>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</si>
  <si>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</si>
  <si>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</si>
  <si>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</si>
  <si>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</si>
  <si>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</si>
  <si>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</si>
  <si>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</si>
  <si>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</si>
  <si>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</si>
  <si>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</si>
  <si>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</si>
  <si>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</si>
  <si>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</si>
  <si>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</si>
  <si>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</si>
  <si>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</si>
  <si>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</si>
  <si>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</si>
  <si>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</si>
  <si>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</si>
  <si>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</si>
  <si>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</si>
  <si>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</si>
  <si>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</si>
  <si>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</si>
  <si>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</si>
  <si>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</si>
  <si>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</si>
  <si>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</si>
  <si>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</si>
  <si>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</si>
  <si>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</si>
  <si>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</si>
  <si>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</si>
  <si>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</si>
  <si>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</si>
  <si>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</si>
  <si>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</si>
  <si>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</si>
  <si>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</si>
  <si>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</si>
  <si>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</si>
  <si>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</si>
  <si>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</si>
  <si>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</si>
  <si>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</si>
  <si>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</si>
  <si>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</si>
  <si>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</si>
  <si>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</si>
  <si>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</si>
  <si>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</si>
  <si>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</si>
  <si>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</si>
  <si>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</si>
  <si>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</si>
  <si>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</si>
  <si>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</si>
  <si>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</si>
  <si>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</si>
  <si>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</si>
  <si>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</si>
  <si>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</si>
  <si>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</si>
  <si>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</si>
  <si>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</si>
  <si>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</si>
  <si>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</si>
  <si>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</si>
  <si>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</si>
  <si>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</si>
  <si>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</si>
  <si>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</si>
  <si>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</si>
  <si>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</si>
  <si>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</si>
  <si>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</si>
  <si>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</si>
  <si>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</si>
  <si>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</si>
  <si>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</si>
  <si>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</si>
  <si>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</si>
  <si>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</si>
  <si>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</si>
  <si>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</si>
  <si>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</si>
  <si>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</si>
  <si>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</si>
  <si>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</si>
  <si>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</si>
  <si>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</si>
  <si>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</si>
  <si>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</si>
  <si>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</si>
  <si>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</si>
  <si>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</si>
  <si>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</si>
  <si>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</si>
  <si>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</si>
  <si>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</si>
  <si>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</si>
  <si>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</si>
  <si>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</si>
  <si>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</si>
  <si>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</si>
  <si>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</si>
  <si>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</si>
  <si>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</si>
  <si>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</si>
  <si>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</si>
  <si>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</si>
  <si>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</si>
  <si>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</si>
  <si>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</si>
  <si>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</si>
  <si>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</si>
  <si>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</si>
  <si>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</si>
  <si>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</si>
  <si>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</si>
  <si>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</si>
  <si>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</si>
  <si>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</si>
  <si>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</si>
  <si>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</si>
  <si>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</si>
  <si>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</si>
  <si>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</si>
  <si>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</si>
  <si>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</si>
  <si>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</si>
  <si>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</si>
  <si>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</si>
  <si>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</si>
  <si>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</si>
  <si>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</si>
  <si>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</si>
  <si>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</si>
  <si>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</si>
  <si>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</si>
  <si>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</si>
  <si>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</si>
  <si>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</si>
  <si>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</si>
  <si>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</si>
  <si>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</si>
  <si>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</si>
  <si>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</si>
  <si>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</si>
  <si>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</si>
  <si>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</si>
  <si>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</si>
  <si>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</si>
  <si>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</si>
  <si>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</si>
  <si>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</si>
  <si>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</si>
  <si>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</si>
  <si>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</si>
  <si>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</si>
  <si>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</si>
  <si>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</si>
  <si>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</si>
  <si>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</si>
  <si>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</si>
  <si>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</si>
  <si>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</si>
  <si>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</si>
  <si>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</si>
  <si>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</si>
  <si>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</si>
  <si>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</si>
  <si>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</si>
  <si>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</si>
  <si>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</si>
  <si>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</si>
  <si>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</si>
  <si>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</si>
  <si>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</si>
  <si>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</si>
  <si>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</si>
  <si>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</si>
  <si>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</si>
  <si>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</si>
  <si>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</si>
  <si>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</si>
  <si>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</si>
  <si>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</si>
  <si>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</si>
  <si>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</si>
  <si>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</si>
  <si>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</si>
  <si>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</si>
  <si>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</si>
  <si>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</si>
  <si>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</si>
  <si>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</si>
  <si>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</si>
  <si>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</si>
  <si>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</si>
  <si>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</si>
  <si>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</si>
  <si>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</si>
  <si>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</si>
  <si>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</si>
  <si>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</si>
  <si>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</si>
  <si>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</si>
  <si>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</si>
  <si>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</si>
  <si>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</si>
  <si>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</si>
  <si>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</si>
  <si>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</si>
  <si>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</si>
  <si>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</si>
  <si>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</si>
  <si>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</si>
  <si>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</si>
  <si>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</si>
  <si>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</si>
  <si>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</si>
  <si>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</si>
  <si>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</si>
  <si>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</si>
  <si>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</si>
  <si>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</si>
  <si>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</si>
  <si>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</si>
  <si>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</si>
  <si>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</si>
  <si>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</si>
  <si>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</si>
  <si>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</si>
  <si>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</si>
  <si>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</si>
  <si>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</si>
  <si>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</si>
  <si>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</si>
  <si>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</si>
  <si>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</si>
  <si>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</si>
  <si>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</si>
  <si>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</si>
  <si>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</si>
  <si>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</si>
  <si>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</si>
  <si>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</si>
  <si>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</si>
  <si>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</si>
  <si>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</si>
  <si>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</si>
  <si>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</si>
  <si>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</si>
  <si>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</si>
  <si>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</si>
  <si>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</si>
  <si>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</si>
  <si>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</si>
  <si>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</si>
  <si>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</si>
  <si>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</si>
  <si>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</si>
  <si>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</si>
  <si>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</si>
  <si>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</si>
  <si>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</si>
  <si>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</si>
  <si>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</si>
  <si>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</si>
  <si>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</si>
  <si>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</si>
  <si>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</si>
  <si>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</si>
  <si>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</si>
  <si>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</si>
  <si>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</si>
  <si>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</si>
  <si>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</si>
  <si>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</si>
  <si>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</si>
  <si>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</si>
  <si>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</si>
  <si>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</si>
  <si>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</si>
  <si>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</si>
  <si>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</si>
  <si>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</si>
  <si>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</si>
  <si>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</si>
  <si>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</si>
  <si>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</si>
  <si>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</si>
  <si>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</si>
  <si>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</si>
  <si>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</si>
  <si>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</si>
  <si>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</si>
  <si>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</si>
  <si>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</si>
  <si>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</si>
  <si>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</si>
  <si>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</si>
  <si>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</si>
  <si>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</si>
  <si>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</si>
  <si>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</si>
  <si>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</si>
  <si>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</si>
  <si>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</si>
  <si>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</si>
  <si>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</si>
  <si>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</si>
  <si>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</si>
  <si>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</si>
  <si>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</si>
  <si>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</si>
  <si>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</si>
  <si>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</si>
  <si>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</si>
  <si>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</si>
  <si>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</si>
  <si>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</si>
  <si>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</si>
  <si>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</si>
  <si>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</si>
  <si>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</si>
  <si>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</si>
  <si>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</si>
  <si>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</si>
  <si>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</si>
  <si>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</si>
  <si>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</si>
  <si>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</si>
  <si>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</si>
  <si>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</si>
  <si>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</si>
  <si>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</si>
  <si>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</si>
  <si>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</si>
  <si>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</si>
  <si>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</si>
  <si>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</si>
  <si>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</si>
  <si>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</si>
  <si>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</si>
  <si>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</si>
  <si>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</si>
  <si>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</si>
  <si>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</si>
  <si>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</si>
  <si>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</si>
  <si>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</si>
  <si>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</si>
  <si>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</si>
  <si>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</si>
  <si>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</si>
  <si>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</si>
  <si>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</si>
  <si>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</si>
  <si>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</si>
  <si>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</si>
  <si>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</si>
  <si>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</si>
  <si>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</si>
  <si>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</si>
  <si>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</si>
  <si>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</si>
  <si>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</si>
  <si>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</si>
  <si>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</si>
  <si>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</si>
  <si>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</si>
  <si>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</si>
  <si>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</si>
  <si>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</si>
  <si>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</si>
  <si>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</si>
  <si>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</si>
  <si>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</si>
  <si>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</si>
  <si>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</si>
  <si>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</si>
  <si>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</si>
  <si>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</si>
  <si>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</si>
  <si>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</si>
  <si>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</si>
  <si>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</si>
  <si>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</si>
  <si>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</si>
  <si>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</si>
  <si>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</si>
  <si>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</si>
  <si>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</si>
  <si>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</si>
  <si>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</si>
  <si>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</si>
  <si>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</si>
  <si>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</si>
  <si>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</si>
  <si>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</si>
  <si>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</si>
  <si>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</si>
  <si>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</si>
  <si>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</si>
  <si>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</si>
  <si>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</si>
  <si>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</si>
  <si>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</si>
  <si>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</si>
  <si>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</si>
  <si>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</si>
  <si>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</si>
  <si>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</si>
  <si>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</si>
  <si>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</si>
  <si>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</si>
  <si>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</si>
  <si>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</si>
  <si>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</si>
  <si>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</si>
  <si>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</si>
  <si>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</si>
  <si>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</si>
  <si>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</si>
  <si>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</si>
  <si>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</si>
  <si>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</si>
  <si>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</si>
  <si>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</si>
  <si>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</si>
  <si>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</si>
  <si>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</si>
  <si>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</si>
  <si>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</si>
  <si>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</si>
  <si>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</si>
  <si>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</si>
  <si>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</si>
  <si>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</si>
  <si>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</si>
  <si>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</si>
  <si>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</si>
  <si>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</si>
  <si>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</si>
  <si>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</si>
  <si>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</si>
  <si>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</si>
  <si>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</si>
  <si>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</si>
  <si>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</si>
  <si>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</si>
  <si>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</si>
  <si>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</si>
  <si>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</si>
  <si>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</si>
  <si>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</si>
  <si>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</si>
  <si>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</si>
  <si>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</si>
  <si>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</si>
  <si>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</si>
  <si>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</si>
  <si>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</si>
  <si>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</si>
  <si>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</si>
  <si>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</si>
  <si>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</si>
  <si>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</si>
  <si>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</si>
  <si>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</si>
  <si>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</si>
  <si>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</si>
  <si>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</si>
  <si>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</si>
  <si>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</si>
  <si>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</si>
  <si>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</si>
  <si>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</si>
  <si>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</si>
  <si>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</si>
  <si>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</si>
  <si>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</si>
  <si>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</si>
  <si>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</si>
  <si>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</si>
  <si>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</si>
  <si>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</si>
  <si>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</si>
  <si>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</si>
  <si>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</si>
  <si>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</si>
  <si>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</si>
  <si>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</si>
  <si>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</si>
  <si>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</si>
  <si>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</si>
  <si>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</si>
  <si>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</si>
  <si>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</si>
  <si>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</si>
  <si>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</si>
  <si>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</si>
  <si>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</si>
  <si>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</si>
  <si>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</si>
  <si>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</si>
  <si>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</si>
  <si>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</si>
  <si>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</si>
  <si>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</si>
  <si>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</si>
  <si>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</si>
  <si>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</si>
  <si>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</si>
  <si>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</si>
  <si>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</si>
  <si>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</si>
  <si>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</si>
  <si>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</si>
  <si>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</si>
  <si>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</si>
  <si>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</si>
  <si>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</si>
  <si>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</si>
  <si>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</si>
  <si>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</si>
  <si>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</si>
  <si>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</si>
  <si>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</si>
  <si>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</si>
  <si>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</si>
  <si>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</si>
  <si>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</si>
  <si>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</si>
  <si>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</si>
  <si>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</si>
  <si>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</si>
  <si>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</si>
  <si>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</si>
  <si>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</si>
  <si>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</si>
  <si>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</si>
  <si>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</si>
  <si>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</si>
  <si>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</si>
  <si>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</si>
  <si>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</si>
  <si>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</si>
  <si>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</si>
  <si>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</si>
  <si>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</si>
  <si>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</si>
  <si>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</si>
  <si>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</si>
  <si>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</si>
  <si>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</si>
  <si>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</si>
  <si>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</si>
  <si>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</si>
  <si>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</si>
  <si>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</si>
  <si>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</si>
  <si>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</si>
  <si>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</si>
  <si>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</si>
  <si>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</si>
  <si>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</si>
  <si>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</si>
  <si>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</si>
  <si>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</si>
  <si>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</si>
  <si>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</si>
  <si>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</si>
  <si>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</si>
  <si>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</si>
  <si>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</si>
  <si>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</si>
  <si>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</si>
  <si>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</si>
  <si>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</si>
  <si>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</si>
  <si>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</si>
  <si>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</si>
  <si>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</si>
  <si>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</si>
  <si>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</si>
  <si>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</si>
  <si>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</si>
  <si>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</si>
  <si>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</si>
  <si>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</si>
  <si>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</si>
  <si>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</si>
  <si>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</si>
  <si>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</si>
  <si>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</si>
  <si>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</si>
  <si>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</si>
  <si>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</si>
  <si>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</si>
  <si>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</si>
  <si>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</si>
  <si>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</si>
  <si>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</si>
  <si>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</si>
  <si>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</si>
  <si>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</si>
  <si>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</si>
  <si>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</si>
  <si>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</si>
  <si>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</si>
  <si>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</si>
  <si>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</si>
  <si>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</si>
  <si>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</si>
  <si>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</si>
  <si>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</si>
  <si>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</si>
  <si>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</si>
  <si>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</si>
  <si>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</si>
  <si>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</si>
  <si>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</si>
  <si>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</si>
  <si>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</si>
  <si>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</si>
  <si>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</si>
  <si>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</si>
  <si>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</si>
  <si>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</si>
  <si>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</si>
  <si>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</si>
  <si>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</si>
  <si>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</si>
  <si>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</si>
  <si>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</si>
  <si>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</si>
  <si>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</si>
  <si>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</si>
  <si>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</si>
  <si>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</si>
  <si>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</si>
  <si>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</si>
  <si>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</si>
  <si>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</si>
  <si>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</si>
  <si>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</si>
  <si>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</si>
  <si>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</si>
  <si>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</si>
  <si>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</si>
  <si>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</si>
  <si>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</si>
  <si>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</si>
  <si>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</si>
  <si>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</si>
  <si>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</si>
  <si>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</si>
  <si>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</si>
  <si>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</si>
  <si>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</si>
  <si>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</si>
  <si>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</si>
  <si>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</si>
  <si>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</si>
  <si>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</si>
  <si>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</si>
  <si>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</si>
  <si>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</si>
  <si>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</si>
  <si>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</si>
  <si>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</si>
  <si>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</si>
  <si>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</si>
  <si>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</si>
  <si>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</si>
  <si>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</si>
  <si>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</si>
  <si>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</si>
  <si>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</si>
  <si>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</si>
  <si>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</si>
  <si>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</si>
  <si>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</si>
  <si>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</si>
  <si>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</si>
  <si>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</si>
  <si>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</si>
  <si>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</si>
  <si>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</si>
  <si>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</si>
  <si>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</si>
  <si>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</si>
  <si>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</si>
  <si>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</si>
  <si>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</si>
  <si>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</si>
  <si>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</si>
  <si>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</si>
  <si>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</si>
  <si>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</si>
  <si>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</si>
  <si>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</si>
  <si>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</si>
  <si>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</si>
  <si>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</si>
  <si>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</si>
  <si>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</si>
  <si>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</si>
  <si>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</si>
  <si>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</si>
  <si>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</si>
  <si>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</si>
  <si>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</si>
  <si>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</si>
  <si>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</si>
  <si>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</si>
  <si>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</si>
  <si>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</si>
  <si>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</si>
  <si>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</si>
  <si>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</si>
  <si>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</si>
  <si>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</si>
  <si>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</si>
  <si>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</si>
  <si>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</si>
  <si>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</si>
  <si>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</si>
  <si>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</si>
  <si>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</si>
  <si>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</si>
  <si>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</si>
  <si>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</si>
  <si>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</si>
  <si>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</si>
  <si>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</si>
  <si>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</si>
  <si>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</si>
  <si>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</si>
  <si>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</si>
  <si>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</si>
  <si>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</si>
  <si>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</si>
  <si>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</si>
  <si>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</si>
  <si>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</si>
  <si>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</si>
  <si>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</si>
  <si>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</si>
  <si>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</si>
  <si>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</si>
  <si>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</si>
  <si>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</si>
  <si>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</si>
  <si>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</si>
  <si>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</si>
  <si>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</si>
  <si>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</si>
  <si>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</si>
  <si>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</si>
  <si>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</si>
  <si>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</si>
  <si>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</si>
  <si>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</si>
  <si>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</si>
  <si>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</si>
  <si>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</si>
  <si>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</si>
  <si>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</si>
  <si>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</si>
  <si>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</si>
  <si>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</si>
  <si>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</si>
  <si>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</si>
  <si>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</si>
  <si>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</si>
  <si>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</si>
  <si>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</si>
  <si>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</si>
  <si>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</si>
  <si>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</si>
  <si>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</si>
  <si>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</si>
  <si>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</si>
  <si>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</si>
  <si>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</si>
  <si>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</si>
  <si>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</si>
  <si>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</si>
  <si>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</si>
  <si>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</si>
  <si>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</si>
  <si>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</si>
  <si>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</si>
  <si>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</si>
  <si>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</si>
  <si>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</si>
  <si>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</si>
  <si>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</si>
  <si>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</si>
  <si>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</si>
  <si>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</si>
  <si>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</si>
  <si>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</si>
  <si>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</si>
  <si>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</si>
  <si>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</si>
  <si>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</si>
  <si>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</si>
  <si>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</si>
  <si>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</si>
  <si>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</si>
  <si>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</si>
  <si>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</si>
  <si>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</si>
  <si>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</si>
  <si>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</si>
  <si>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</si>
  <si>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</si>
  <si>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</si>
  <si>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</si>
  <si>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</si>
  <si>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</si>
  <si>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</si>
  <si>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</si>
  <si>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</si>
  <si>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</si>
  <si>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</si>
  <si>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</si>
  <si>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</si>
  <si>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</si>
  <si>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</si>
  <si>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</si>
  <si>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</si>
  <si>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</si>
  <si>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</si>
  <si>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</si>
  <si>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</si>
  <si>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</si>
  <si>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</si>
  <si>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</si>
  <si>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</si>
  <si>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</si>
  <si>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</si>
  <si>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</si>
  <si>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</si>
  <si>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</si>
  <si>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</si>
  <si>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</si>
  <si>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</si>
  <si>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</si>
  <si>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</si>
  <si>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</si>
  <si>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</si>
  <si>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</si>
  <si>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</si>
  <si>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</si>
  <si>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</si>
  <si>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</si>
  <si>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</si>
  <si>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</si>
  <si>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</si>
  <si>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</si>
  <si>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</si>
  <si>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</si>
  <si>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</si>
  <si>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</si>
  <si>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</si>
  <si>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</si>
  <si>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</si>
  <si>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</si>
  <si>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</si>
  <si>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</si>
  <si>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</si>
  <si>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</si>
  <si>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</si>
  <si>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</si>
  <si>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</si>
  <si>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</si>
  <si>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</si>
  <si>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</si>
  <si>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</si>
  <si>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</si>
  <si>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</si>
  <si>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</si>
  <si>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</si>
  <si>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</si>
  <si>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</si>
  <si>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</si>
  <si>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</si>
  <si>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</si>
  <si>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</si>
  <si>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</si>
  <si>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</si>
  <si>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</si>
  <si>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</si>
  <si>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</si>
  <si>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</si>
  <si>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</si>
  <si>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</si>
  <si>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</si>
  <si>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</si>
  <si>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</si>
  <si>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</si>
  <si>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</si>
  <si>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</si>
  <si>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</si>
  <si>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</si>
  <si>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</si>
  <si>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</si>
  <si>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</si>
  <si>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</si>
  <si>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</si>
  <si>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</si>
  <si>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</si>
  <si>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</si>
  <si>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</si>
  <si>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</si>
  <si>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</si>
  <si>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</si>
  <si>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</si>
  <si>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</si>
  <si>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</si>
  <si>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</si>
  <si>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</si>
  <si>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</si>
  <si>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</si>
  <si>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</si>
  <si>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</si>
  <si>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</si>
  <si>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</si>
  <si>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</si>
  <si>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</si>
  <si>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</si>
  <si>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</si>
  <si>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</si>
  <si>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</si>
  <si>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</si>
  <si>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</si>
  <si>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</si>
  <si>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</si>
  <si>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</si>
  <si>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</si>
  <si>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</si>
  <si>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</si>
  <si>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</si>
  <si>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</si>
  <si>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</si>
  <si>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</si>
  <si>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</si>
  <si>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</si>
  <si>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</si>
  <si>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</si>
  <si>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</si>
  <si>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</si>
  <si>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</si>
  <si>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</si>
  <si>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</si>
  <si>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</si>
  <si>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</si>
  <si>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</si>
  <si>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</si>
  <si>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</si>
  <si>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</si>
  <si>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</si>
  <si>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</si>
  <si>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</si>
  <si>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</si>
  <si>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</si>
  <si>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</si>
  <si>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</si>
  <si>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</si>
  <si>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</si>
  <si>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</si>
  <si>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</si>
  <si>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</si>
  <si>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</si>
  <si>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</si>
  <si>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</si>
  <si>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</si>
  <si>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</si>
  <si>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</si>
  <si>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</si>
  <si>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</si>
  <si>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</si>
  <si>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</si>
  <si>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</si>
  <si>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</si>
  <si>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</si>
  <si>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</si>
  <si>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</si>
  <si>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</si>
  <si>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</si>
  <si>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</si>
  <si>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</si>
  <si>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</si>
  <si>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</si>
  <si>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</si>
  <si>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</si>
  <si>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</si>
  <si>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</si>
  <si>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</si>
  <si>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</si>
  <si>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</si>
  <si>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</si>
  <si>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</si>
  <si>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</si>
  <si>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</si>
  <si>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</si>
  <si>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</si>
  <si>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</si>
  <si>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</si>
  <si>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</si>
  <si>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</si>
  <si>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</si>
  <si>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</si>
  <si>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</si>
  <si>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</si>
  <si>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</si>
  <si>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</si>
  <si>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</si>
  <si>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</si>
  <si>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</si>
  <si>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</si>
  <si>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</si>
  <si>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</si>
  <si>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</si>
  <si>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</si>
  <si>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</si>
  <si>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</si>
  <si>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</si>
  <si>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</si>
  <si>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</si>
  <si>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</si>
  <si>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</si>
  <si>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</si>
  <si>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</si>
  <si>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</si>
  <si>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</si>
  <si>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</si>
  <si>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</si>
  <si>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</si>
  <si>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</si>
  <si>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</si>
  <si>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</si>
  <si>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</si>
  <si>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</si>
  <si>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</si>
  <si>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</si>
  <si>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</si>
  <si>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</si>
  <si>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</si>
  <si>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</si>
  <si>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</si>
  <si>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</si>
  <si>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</si>
  <si>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</si>
  <si>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</si>
  <si>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</si>
  <si>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</si>
  <si>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</si>
  <si>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</si>
  <si>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</si>
  <si>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</si>
  <si>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</si>
  <si>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</si>
  <si>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</si>
  <si>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</si>
  <si>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</si>
  <si>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</si>
  <si>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</si>
  <si>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</si>
  <si>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</si>
  <si>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</si>
  <si>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</si>
  <si>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</si>
  <si>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</si>
  <si>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</si>
  <si>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</si>
  <si>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</si>
  <si>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</si>
  <si>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</si>
  <si>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</si>
  <si>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</si>
  <si>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</si>
  <si>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</si>
  <si>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</si>
  <si>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</si>
  <si>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</si>
  <si>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</si>
  <si>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</si>
  <si>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</si>
  <si>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</si>
  <si>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</si>
  <si>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</si>
  <si>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</si>
  <si>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</si>
  <si>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</si>
  <si>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</si>
  <si>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</si>
  <si>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</si>
  <si>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</si>
  <si>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</si>
  <si>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</si>
  <si>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</si>
  <si>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</si>
  <si>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</si>
  <si>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</si>
  <si>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</si>
  <si>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</si>
  <si>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</si>
  <si>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</si>
  <si>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</si>
  <si>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</si>
  <si>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</si>
  <si>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</si>
  <si>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</si>
  <si>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</si>
  <si>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</si>
  <si>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</si>
  <si>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</si>
  <si>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</si>
  <si>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</si>
  <si>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</si>
  <si>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</si>
  <si>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</si>
  <si>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</si>
  <si>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</si>
  <si>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</si>
  <si>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</si>
  <si>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</si>
  <si>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</si>
  <si>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</si>
  <si>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</si>
  <si>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</si>
  <si>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</si>
  <si>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</si>
  <si>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</si>
  <si>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</si>
  <si>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</si>
  <si>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</si>
  <si>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</si>
  <si>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</si>
  <si>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</si>
  <si>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</si>
  <si>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</si>
  <si>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</si>
  <si>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</si>
  <si>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</si>
  <si>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</si>
  <si>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</si>
  <si>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</si>
  <si>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</si>
  <si>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</si>
  <si>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</si>
  <si>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</si>
  <si>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</si>
  <si>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</si>
  <si>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</si>
  <si>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</si>
  <si>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</si>
  <si>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</si>
  <si>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</si>
  <si>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</si>
  <si>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</si>
  <si>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</si>
  <si>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</si>
  <si>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</si>
  <si>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</si>
  <si>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</si>
  <si>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</si>
  <si>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</si>
  <si>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</si>
  <si>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</si>
  <si>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</si>
  <si>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</si>
  <si>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</si>
  <si>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</si>
  <si>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</si>
  <si>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</si>
  <si>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</si>
  <si>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</si>
  <si>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</si>
  <si>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</si>
  <si>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</si>
  <si>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</si>
  <si>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</si>
  <si>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</si>
  <si>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</si>
  <si>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</si>
  <si>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</si>
  <si>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</si>
  <si>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</si>
  <si>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</si>
  <si>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</si>
  <si>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</si>
  <si>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</si>
  <si>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</si>
  <si>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</si>
  <si>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</si>
  <si>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</si>
  <si>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</si>
  <si>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</si>
  <si>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</si>
  <si>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</si>
  <si>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</si>
  <si>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</si>
  <si>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</si>
  <si>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</si>
  <si>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</si>
  <si>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</si>
  <si>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</si>
  <si>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</si>
  <si>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</si>
  <si>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</si>
  <si>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</si>
  <si>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</si>
  <si>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</si>
  <si>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</si>
  <si>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</si>
  <si>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</si>
  <si>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</si>
  <si>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</si>
  <si>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</si>
  <si>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</si>
  <si>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</si>
  <si>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</si>
  <si>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</si>
  <si>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</si>
  <si>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</si>
  <si>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</si>
  <si>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</si>
  <si>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</si>
  <si>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</si>
  <si>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</si>
  <si>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</si>
  <si>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</si>
  <si>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</si>
  <si>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</si>
  <si>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</si>
  <si>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</si>
  <si>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</si>
  <si>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</si>
  <si>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</si>
  <si>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</si>
  <si>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</si>
  <si>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</si>
  <si>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</si>
  <si>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</si>
  <si>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</si>
  <si>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</si>
  <si>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</si>
  <si>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</si>
  <si>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</si>
  <si>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</si>
  <si>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</si>
  <si>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</si>
  <si>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</si>
  <si>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</si>
  <si>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</si>
  <si>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</si>
  <si>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</si>
  <si>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</si>
  <si>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</si>
  <si>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</si>
  <si>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</si>
  <si>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</si>
  <si>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</si>
  <si>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</si>
  <si>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</si>
  <si>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</si>
  <si>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</si>
  <si>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</si>
  <si>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</si>
  <si>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</si>
  <si>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</si>
  <si>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</si>
  <si>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</si>
  <si>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</si>
  <si>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</si>
  <si>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</si>
  <si>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</si>
  <si>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</si>
  <si>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</si>
  <si>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</si>
  <si>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</si>
  <si>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</si>
  <si>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</si>
  <si>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</si>
  <si>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</si>
  <si>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</si>
  <si>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</si>
  <si>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</si>
  <si>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</si>
  <si>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</si>
  <si>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</si>
  <si>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</si>
  <si>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</si>
  <si>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</si>
  <si>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</si>
  <si>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</si>
  <si>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</si>
  <si>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</si>
  <si>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</si>
  <si>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</si>
  <si>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</si>
  <si>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</si>
  <si>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</si>
  <si>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</si>
  <si>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</si>
  <si>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</si>
  <si>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</si>
  <si>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</si>
  <si>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</si>
  <si>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</si>
  <si>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</si>
  <si>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</si>
  <si>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</si>
  <si>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</si>
  <si>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</si>
  <si>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</si>
  <si>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</si>
  <si>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</si>
  <si>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</si>
  <si>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</si>
  <si>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</si>
  <si>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</si>
  <si>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</si>
  <si>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</si>
  <si>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</si>
  <si>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</si>
  <si>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</si>
  <si>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</si>
  <si>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</si>
  <si>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</si>
  <si>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</si>
  <si>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</si>
  <si>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</si>
  <si>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</si>
  <si>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</si>
  <si>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</si>
  <si>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</si>
  <si>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</si>
  <si>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</si>
  <si>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</si>
  <si>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</si>
  <si>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</si>
  <si>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</si>
  <si>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</si>
  <si>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</si>
  <si>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</si>
  <si>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</si>
  <si>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</si>
  <si>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</si>
  <si>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</si>
  <si>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</si>
  <si>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</si>
  <si>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</si>
  <si>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</si>
  <si>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</si>
  <si>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</si>
  <si>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</si>
  <si>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</si>
  <si>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</si>
  <si>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</si>
  <si>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</si>
  <si>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</si>
  <si>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</si>
  <si>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</si>
  <si>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</si>
  <si>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</si>
  <si>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</si>
  <si>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</si>
  <si>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</si>
  <si>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</si>
  <si>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</si>
  <si>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</si>
  <si>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</si>
  <si>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</si>
  <si>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</si>
  <si>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</si>
  <si>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</si>
  <si>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</si>
  <si>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</si>
  <si>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</si>
  <si>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</si>
  <si>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</si>
  <si>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</si>
  <si>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</si>
  <si>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</si>
  <si>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</si>
  <si>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</si>
  <si>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</si>
  <si>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</si>
  <si>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</si>
  <si>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</si>
  <si>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</si>
  <si>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</si>
  <si>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</si>
  <si>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</si>
  <si>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</si>
  <si>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</si>
  <si>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</si>
  <si>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</si>
  <si>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</si>
  <si>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</si>
  <si>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</si>
  <si>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</si>
  <si>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</si>
  <si>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</si>
  <si>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</si>
  <si>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</si>
  <si>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</si>
  <si>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</si>
  <si>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</si>
  <si>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</si>
  <si>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</si>
  <si>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</si>
  <si>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</si>
  <si>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</si>
  <si>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</si>
  <si>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</si>
  <si>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</si>
  <si>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</si>
  <si>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</si>
  <si>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</si>
  <si>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</si>
  <si>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</si>
  <si>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</si>
  <si>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</si>
  <si>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</si>
  <si>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</si>
  <si>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</si>
  <si>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</si>
  <si>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</si>
  <si>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</si>
  <si>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</si>
  <si>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</si>
  <si>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</si>
  <si>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</si>
  <si>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</si>
  <si>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</si>
  <si>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</si>
  <si>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</si>
  <si>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</si>
  <si>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</si>
  <si>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</si>
  <si>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</si>
  <si>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</si>
  <si>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</si>
  <si>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</si>
  <si>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</si>
  <si>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</si>
  <si>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</si>
  <si>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</si>
  <si>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</si>
  <si>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</si>
  <si>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</si>
  <si>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</si>
  <si>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</si>
  <si>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</si>
  <si>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</si>
  <si>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</si>
  <si>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</si>
  <si>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</si>
  <si>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</si>
  <si>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</si>
  <si>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</si>
  <si>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</si>
  <si>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</si>
  <si>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</si>
  <si>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</si>
  <si>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</si>
  <si>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</si>
  <si>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</si>
  <si>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</si>
  <si>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</si>
  <si>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</si>
  <si>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</si>
  <si>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</si>
  <si>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</si>
  <si>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</si>
  <si>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</si>
  <si>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</si>
  <si>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</si>
  <si>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</si>
  <si>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</si>
  <si>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</si>
  <si>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</si>
  <si>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</si>
  <si>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</si>
  <si>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</si>
  <si>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</si>
  <si>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</si>
  <si>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</si>
  <si>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</si>
  <si>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</si>
  <si>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</si>
  <si>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</si>
  <si>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</si>
  <si>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</si>
  <si>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</si>
  <si>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</si>
  <si>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</si>
  <si>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</si>
  <si>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</si>
  <si>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</si>
  <si>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</si>
  <si>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</si>
  <si>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</si>
  <si>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</si>
  <si>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</si>
  <si>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</si>
  <si>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</si>
  <si>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</si>
  <si>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</si>
  <si>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</si>
  <si>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</si>
  <si>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</si>
  <si>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</si>
  <si>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</si>
  <si>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</si>
  <si>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</si>
  <si>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</si>
  <si>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</si>
  <si>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</si>
  <si>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</si>
  <si>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</si>
  <si>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</si>
  <si>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</si>
  <si>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</si>
  <si>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</si>
  <si>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</si>
  <si>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</si>
  <si>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</si>
  <si>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</si>
  <si>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</si>
  <si>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</si>
  <si>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</si>
  <si>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</si>
  <si>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</si>
  <si>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</si>
  <si>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</si>
  <si>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</si>
  <si>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</si>
  <si>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</si>
  <si>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</si>
  <si>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</si>
  <si>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</si>
  <si>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</si>
  <si>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</si>
  <si>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</si>
  <si>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</si>
  <si>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</si>
  <si>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</si>
  <si>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</si>
  <si>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</si>
  <si>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</si>
  <si>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</si>
  <si>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</si>
  <si>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</si>
  <si>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</si>
  <si>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</si>
  <si>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</si>
  <si>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</si>
  <si>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</si>
  <si>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</si>
  <si>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</si>
  <si>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</si>
  <si>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</si>
  <si>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</si>
  <si>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</si>
  <si>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</si>
  <si>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</si>
  <si>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</si>
  <si>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</si>
  <si>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</si>
  <si>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</si>
  <si>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</si>
  <si>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</si>
  <si>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</si>
  <si>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</si>
  <si>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</si>
  <si>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</si>
  <si>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</si>
  <si>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</si>
  <si>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</si>
  <si>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</si>
  <si>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</si>
  <si>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</si>
  <si>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</si>
  <si>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</si>
  <si>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</si>
  <si>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</si>
  <si>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</si>
  <si>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</si>
  <si>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</si>
  <si>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</si>
  <si>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</si>
  <si>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</si>
  <si>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</si>
  <si>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</si>
  <si>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</si>
  <si>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</si>
  <si>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</si>
  <si>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</si>
  <si>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</si>
  <si>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</si>
  <si>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</si>
  <si>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</si>
  <si>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</si>
  <si>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</si>
  <si>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</si>
  <si>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</si>
  <si>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</si>
  <si>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</si>
  <si>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</si>
  <si>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</si>
  <si>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</si>
  <si>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</si>
  <si>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</si>
  <si>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</si>
  <si>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</si>
  <si>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</si>
  <si>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</si>
  <si>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</si>
  <si>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</si>
  <si>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</si>
  <si>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</si>
  <si>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</si>
  <si>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</si>
  <si>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</si>
  <si>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</si>
  <si>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</si>
  <si>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</si>
  <si>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</si>
  <si>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</si>
  <si>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</si>
  <si>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</si>
  <si>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</si>
  <si>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</si>
  <si>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</si>
  <si>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</si>
  <si>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</si>
  <si>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</si>
  <si>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</si>
  <si>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</si>
  <si>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</si>
  <si>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</si>
  <si>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</si>
  <si>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</si>
  <si>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</si>
  <si>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</si>
  <si>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</si>
  <si>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</si>
  <si>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</si>
  <si>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</si>
  <si>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</si>
  <si>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</si>
  <si>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</si>
  <si>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</si>
  <si>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</si>
  <si>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</si>
  <si>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</si>
  <si>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</si>
  <si>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</si>
  <si>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</si>
  <si>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</si>
  <si>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</si>
  <si>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</si>
  <si>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</si>
  <si>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</si>
  <si>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</si>
  <si>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</si>
  <si>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</si>
  <si>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</si>
  <si>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</si>
  <si>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</si>
  <si>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</si>
  <si>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</si>
  <si>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</si>
  <si>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</si>
  <si>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</si>
  <si>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</si>
  <si>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</si>
  <si>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</si>
  <si>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</si>
  <si>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</si>
  <si>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</si>
  <si>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</si>
  <si>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</si>
  <si>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</si>
  <si>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</si>
  <si>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</si>
  <si>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</si>
  <si>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</si>
  <si>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</si>
  <si>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</si>
  <si>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</si>
  <si>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</si>
  <si>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</si>
  <si>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</si>
  <si>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</si>
  <si>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</si>
  <si>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</si>
  <si>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</si>
  <si>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</si>
  <si>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</si>
  <si>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</si>
  <si>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</si>
  <si>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</si>
  <si>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</si>
  <si>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</si>
  <si>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</si>
  <si>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</si>
  <si>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</si>
  <si>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</si>
  <si>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</si>
  <si>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</si>
  <si>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</si>
  <si>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</si>
  <si>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</si>
  <si>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</si>
  <si>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</si>
  <si>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</si>
  <si>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</si>
  <si>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</si>
  <si>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</si>
  <si>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</si>
  <si>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</si>
  <si>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</si>
  <si>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</si>
  <si>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</si>
  <si>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</si>
  <si>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</si>
  <si>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</si>
  <si>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</si>
  <si>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</si>
  <si>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</si>
  <si>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</si>
  <si>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</si>
  <si>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</si>
  <si>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</si>
  <si>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</si>
  <si>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</si>
  <si>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</si>
  <si>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</si>
  <si>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</si>
  <si>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</si>
  <si>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</si>
  <si>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</si>
  <si>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</si>
  <si>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</si>
  <si>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</si>
  <si>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</si>
  <si>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</si>
  <si>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</si>
  <si>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</si>
  <si>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</si>
  <si>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</si>
  <si>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</si>
  <si>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</si>
  <si>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</si>
  <si>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</si>
  <si>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</si>
  <si>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</si>
  <si>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</si>
  <si>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</si>
  <si>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</si>
  <si>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</si>
  <si>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</si>
  <si>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</si>
  <si>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</si>
  <si>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</si>
  <si>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</si>
  <si>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</si>
  <si>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</si>
  <si>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</si>
  <si>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</si>
  <si>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</si>
  <si>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</si>
  <si>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</si>
  <si>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</si>
  <si>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</si>
  <si>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</si>
  <si>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</si>
  <si>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</si>
  <si>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</si>
  <si>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</si>
  <si>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</si>
  <si>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</si>
  <si>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</si>
  <si>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</si>
  <si>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</si>
  <si>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</si>
  <si>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</si>
  <si>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</si>
  <si>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</si>
  <si>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</si>
  <si>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</si>
  <si>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</si>
  <si>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</si>
  <si>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</si>
  <si>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</si>
  <si>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</si>
  <si>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</si>
  <si>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</si>
  <si>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</si>
  <si>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</si>
  <si>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</si>
  <si>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</si>
  <si>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</si>
  <si>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</si>
  <si>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</si>
  <si>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</si>
  <si>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</si>
  <si>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</si>
  <si>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</si>
  <si>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</si>
  <si>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</si>
  <si>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</si>
  <si>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</si>
  <si>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</si>
  <si>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</si>
  <si>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</si>
  <si>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</si>
  <si>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</si>
  <si>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</si>
  <si>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</si>
  <si>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</si>
  <si>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</si>
  <si>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</si>
  <si>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</si>
  <si>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</si>
  <si>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</si>
  <si>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</si>
  <si>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</si>
  <si>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</si>
  <si>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</si>
  <si>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</si>
  <si>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</si>
  <si>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</si>
  <si>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</si>
  <si>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</si>
  <si>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</si>
  <si>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</si>
  <si>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</si>
  <si>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</si>
  <si>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</si>
  <si>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</si>
  <si>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</si>
  <si>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</si>
  <si>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</si>
  <si>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</si>
  <si>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</si>
  <si>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</si>
  <si>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</si>
  <si>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</si>
  <si>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</si>
  <si>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</si>
  <si>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</si>
  <si>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</si>
  <si>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</si>
  <si>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</si>
  <si>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</si>
  <si>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</si>
  <si>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</si>
  <si>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</si>
  <si>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</si>
  <si>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</si>
  <si>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</si>
  <si>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</si>
  <si>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</si>
  <si>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</si>
  <si>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</si>
  <si>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</si>
  <si>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</si>
  <si>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</si>
  <si>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</si>
  <si>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</si>
  <si>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</si>
  <si>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</si>
  <si>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</si>
  <si>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</si>
  <si>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</si>
  <si>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</si>
  <si>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</si>
  <si>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</si>
  <si>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</si>
  <si>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</si>
  <si>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</si>
  <si>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</si>
  <si>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</si>
  <si>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</si>
  <si>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</si>
  <si>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</si>
  <si>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</si>
  <si>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</si>
  <si>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</si>
  <si>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</si>
  <si>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</si>
  <si>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</si>
  <si>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</si>
  <si>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</si>
  <si>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</si>
  <si>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</si>
  <si>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</si>
  <si>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</si>
  <si>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</si>
  <si>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</si>
  <si>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</si>
  <si>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</si>
  <si>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</si>
  <si>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</si>
  <si>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</si>
  <si>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</si>
  <si>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</si>
  <si>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</si>
  <si>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</si>
  <si>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</si>
  <si>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</si>
  <si>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</si>
  <si>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</si>
  <si>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</si>
  <si>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</si>
  <si>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</si>
  <si>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</si>
  <si>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</si>
  <si>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</si>
  <si>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</si>
  <si>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</si>
  <si>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</si>
  <si>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</si>
  <si>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</si>
  <si>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</si>
  <si>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</si>
  <si>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</si>
  <si>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</si>
  <si>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</si>
  <si>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</si>
  <si>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</si>
  <si>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</si>
  <si>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</si>
  <si>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</si>
  <si>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</si>
  <si>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</si>
  <si>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</si>
  <si>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</si>
  <si>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</si>
  <si>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</si>
  <si>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</si>
  <si>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</si>
  <si>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</si>
  <si>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</si>
  <si>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</si>
  <si>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</si>
  <si>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</si>
  <si>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</si>
  <si>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</si>
  <si>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</si>
  <si>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</si>
  <si>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</si>
  <si>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</si>
  <si>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</si>
  <si>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</si>
  <si>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</si>
  <si>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</si>
  <si>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</si>
  <si>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</si>
  <si>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</si>
  <si>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</si>
  <si>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</si>
  <si>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</si>
  <si>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</si>
  <si>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</si>
  <si>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</si>
  <si>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</si>
  <si>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</si>
  <si>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</si>
  <si>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</si>
  <si>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</si>
  <si>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</si>
  <si>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</si>
  <si>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</si>
  <si>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</si>
  <si>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</si>
  <si>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</si>
  <si>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</si>
  <si>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</si>
  <si>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</si>
  <si>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</si>
  <si>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</si>
  <si>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</si>
  <si>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</si>
  <si>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</si>
  <si>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</si>
  <si>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</si>
  <si>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</si>
  <si>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</si>
  <si>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</si>
  <si>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</si>
  <si>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</si>
  <si>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</si>
  <si>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</si>
  <si>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</si>
  <si>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</si>
  <si>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</si>
  <si>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</si>
  <si>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</si>
  <si>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</si>
  <si>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</si>
  <si>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</si>
  <si>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</si>
  <si>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</si>
  <si>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</si>
  <si>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</si>
  <si>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</si>
  <si>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</si>
  <si>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</si>
  <si>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</si>
  <si>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</si>
  <si>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</si>
  <si>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</si>
  <si>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</si>
  <si>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</si>
  <si>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</si>
  <si>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</si>
  <si>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</si>
  <si>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</si>
  <si>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</si>
  <si>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</si>
  <si>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</si>
  <si>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</si>
  <si>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</si>
  <si>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</si>
  <si>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</si>
  <si>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</si>
  <si>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</si>
  <si>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</si>
  <si>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</si>
  <si>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</si>
  <si>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</si>
  <si>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</si>
  <si>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</si>
  <si>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</si>
  <si>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</si>
  <si>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</si>
  <si>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</si>
  <si>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</si>
  <si>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</si>
  <si>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</si>
  <si>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</si>
  <si>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</si>
  <si>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</si>
  <si>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</si>
  <si>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</si>
  <si>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</si>
  <si>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</si>
  <si>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</si>
  <si>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</si>
  <si>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</si>
  <si>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</si>
  <si>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</si>
  <si>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</si>
  <si>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</si>
  <si>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</si>
  <si>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</si>
  <si>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</si>
  <si>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</si>
  <si>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</si>
  <si>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</si>
  <si>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</si>
  <si>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</si>
  <si>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</si>
  <si>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</si>
  <si>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</si>
  <si>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</si>
  <si>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</si>
  <si>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</si>
  <si>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</si>
  <si>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</si>
  <si>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</si>
  <si>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</si>
  <si>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</si>
  <si>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</si>
  <si>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</si>
  <si>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</si>
  <si>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</si>
  <si>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</si>
  <si>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</si>
  <si>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</si>
  <si>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</si>
  <si>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</si>
  <si>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</si>
  <si>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</si>
  <si>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</si>
  <si>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</si>
  <si>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</si>
  <si>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</si>
  <si>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</si>
  <si>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</si>
  <si>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</si>
  <si>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</si>
  <si>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</si>
  <si>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</si>
  <si>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</si>
  <si>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</si>
  <si>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</si>
  <si>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</si>
  <si>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</si>
  <si>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</si>
  <si>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</si>
  <si>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</si>
  <si>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</si>
  <si>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</si>
  <si>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</si>
  <si>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</si>
  <si>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</si>
  <si>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</si>
  <si>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</si>
  <si>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</si>
  <si>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</si>
  <si>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</si>
  <si>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</si>
  <si>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</si>
  <si>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</si>
  <si>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</si>
  <si>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</si>
  <si>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</si>
  <si>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</si>
  <si>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</si>
  <si>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</si>
  <si>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</si>
  <si>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</si>
  <si>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</si>
  <si>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</si>
  <si>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</si>
  <si>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</si>
  <si>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</si>
  <si>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</si>
  <si>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</si>
  <si>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</si>
  <si>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</si>
  <si>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</si>
  <si>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</si>
  <si>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</si>
  <si>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</si>
  <si>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</si>
  <si>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</si>
  <si>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</si>
  <si>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</si>
  <si>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</si>
  <si>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</si>
  <si>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</si>
  <si>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</si>
  <si>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</si>
  <si>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</si>
  <si>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</si>
  <si>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</si>
  <si>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</si>
  <si>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</si>
  <si>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</si>
  <si>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</si>
  <si>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</si>
  <si>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</si>
  <si>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</si>
  <si>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</si>
  <si>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</si>
  <si>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</si>
  <si>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</si>
  <si>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</si>
  <si>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</si>
  <si>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</si>
  <si>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</si>
  <si>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</si>
  <si>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</si>
  <si>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</si>
  <si>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</si>
  <si>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</si>
  <si>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</si>
  <si>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</si>
  <si>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</si>
  <si>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</si>
  <si>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</si>
  <si>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</si>
  <si>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</si>
  <si>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</si>
  <si>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</si>
  <si>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</si>
  <si>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</si>
  <si>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</si>
  <si>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</si>
  <si>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</si>
  <si>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</si>
  <si>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</si>
  <si>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</si>
  <si>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</si>
  <si>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</si>
  <si>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</si>
  <si>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</si>
  <si>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</si>
  <si>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</si>
  <si>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</si>
  <si>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</si>
  <si>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</si>
  <si>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</si>
  <si>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</si>
  <si>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</si>
  <si>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</si>
  <si>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</si>
  <si>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</si>
  <si>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</si>
  <si>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</si>
  <si>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</si>
  <si>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</si>
  <si>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</si>
  <si>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</si>
  <si>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</si>
  <si>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</si>
  <si>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</si>
  <si>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</si>
  <si>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</si>
  <si>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</si>
  <si>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</si>
  <si>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</si>
  <si>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</si>
  <si>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</si>
  <si>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</si>
  <si>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</si>
  <si>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</si>
  <si>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</si>
  <si>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</si>
  <si>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</si>
  <si>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</si>
  <si>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</si>
  <si>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</si>
  <si>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</si>
  <si>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</si>
  <si>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</si>
  <si>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</si>
  <si>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</si>
  <si>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</si>
  <si>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</si>
  <si>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</si>
  <si>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</si>
  <si>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</si>
  <si>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</si>
  <si>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</si>
  <si>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</si>
  <si>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</si>
  <si>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</si>
  <si>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</si>
  <si>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</si>
  <si>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</si>
  <si>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</si>
  <si>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</si>
  <si>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</si>
  <si>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</si>
  <si>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</si>
  <si>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</si>
  <si>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</si>
  <si>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</si>
  <si>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</si>
  <si>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</si>
  <si>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</si>
  <si>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</si>
  <si>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</si>
  <si>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</si>
  <si>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</si>
  <si>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</si>
  <si>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</si>
  <si>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</si>
  <si>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</si>
  <si>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</si>
  <si>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</si>
  <si>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</si>
  <si>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</si>
  <si>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</si>
  <si>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</si>
  <si>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</si>
  <si>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</si>
  <si>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</si>
  <si>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</si>
  <si>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</si>
  <si>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</si>
  <si>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</si>
  <si>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</si>
  <si>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</si>
  <si>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</si>
  <si>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</si>
  <si>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</si>
  <si>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</si>
  <si>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</si>
  <si>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</si>
  <si>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</si>
  <si>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</si>
  <si>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</si>
  <si>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</si>
  <si>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</si>
  <si>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</si>
  <si>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</si>
  <si>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</si>
  <si>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</si>
  <si>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</si>
  <si>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</si>
  <si>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</si>
  <si>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</si>
  <si>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</si>
  <si>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</si>
  <si>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</si>
  <si>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</si>
  <si>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</si>
  <si>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</si>
  <si>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</si>
  <si>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</si>
  <si>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</si>
  <si>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</si>
  <si>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</si>
  <si>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</si>
  <si>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</si>
  <si>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</si>
  <si>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</si>
  <si>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</si>
  <si>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</si>
  <si>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</si>
  <si>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</si>
  <si>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</si>
  <si>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</si>
  <si>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</si>
  <si>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</si>
  <si>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</si>
  <si>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</si>
  <si>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</si>
  <si>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</si>
  <si>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</si>
  <si>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</si>
  <si>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</si>
  <si>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</si>
  <si>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</si>
  <si>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</si>
  <si>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</si>
  <si>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</si>
  <si>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</si>
  <si>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</si>
  <si>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</si>
  <si>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</si>
  <si>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</si>
  <si>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</si>
  <si>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</si>
  <si>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</si>
  <si>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</si>
  <si>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</si>
  <si>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</si>
  <si>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</si>
  <si>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</si>
  <si>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</si>
  <si>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</si>
  <si>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</si>
  <si>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</si>
  <si>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</si>
  <si>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</si>
  <si>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</si>
  <si>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</si>
  <si>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</si>
  <si>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</si>
  <si>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</si>
  <si>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</si>
  <si>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</si>
  <si>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</si>
  <si>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</si>
  <si>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</si>
  <si>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</si>
  <si>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</si>
  <si>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</si>
  <si>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</si>
  <si>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</si>
  <si>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</si>
  <si>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</si>
  <si>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</si>
  <si>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</si>
  <si>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</si>
  <si>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</si>
  <si>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</si>
  <si>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</si>
  <si>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</si>
  <si>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</si>
  <si>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</si>
  <si>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</si>
  <si>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</si>
  <si>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</si>
  <si>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</si>
  <si>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</si>
  <si>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</si>
  <si>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</si>
  <si>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</si>
  <si>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</si>
  <si>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</si>
  <si>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</si>
  <si>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</si>
  <si>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</si>
  <si>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</si>
  <si>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</si>
  <si>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</si>
  <si>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</si>
  <si>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</si>
  <si>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</si>
  <si>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</si>
  <si>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</si>
  <si>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</si>
  <si>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</si>
  <si>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</si>
  <si>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</si>
  <si>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</si>
  <si>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</si>
  <si>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</si>
  <si>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</si>
  <si>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</si>
  <si>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</si>
  <si>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</si>
  <si>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</si>
  <si>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</si>
  <si>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</si>
  <si>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</si>
  <si>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</si>
  <si>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</si>
  <si>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</si>
  <si>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</si>
  <si>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</si>
  <si>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</si>
  <si>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</si>
  <si>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</si>
  <si>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</si>
  <si>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</si>
  <si>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</si>
  <si>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</si>
  <si>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</si>
  <si>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</si>
  <si>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</si>
  <si>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</si>
  <si>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</si>
  <si>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</si>
  <si>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</si>
  <si>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</si>
  <si>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</si>
  <si>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</si>
  <si>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</si>
  <si>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</si>
  <si>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</si>
  <si>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</si>
  <si>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</si>
  <si>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</si>
  <si>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</si>
  <si>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</si>
  <si>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</si>
  <si>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</si>
  <si>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</si>
  <si>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</si>
  <si>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</si>
  <si>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</si>
  <si>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</si>
  <si>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</si>
  <si>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</si>
  <si>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</si>
  <si>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</si>
  <si>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</si>
  <si>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</si>
  <si>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</si>
  <si>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</si>
  <si>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</si>
  <si>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</si>
  <si>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</si>
  <si>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</si>
  <si>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</si>
  <si>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</si>
  <si>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</si>
  <si>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</si>
  <si>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</si>
  <si>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</si>
  <si>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</si>
  <si>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</si>
  <si>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4" type="noConversion"/>
  </si>
  <si>
    <t>PIDFF</t>
    <phoneticPr fontId="4" type="noConversion"/>
  </si>
  <si>
    <t>双环UCNall</t>
    <phoneticPr fontId="4" type="noConversion"/>
  </si>
  <si>
    <t>TOTALIZR1</t>
    <phoneticPr fontId="4" type="noConversion"/>
  </si>
  <si>
    <t>HILOAVG1</t>
    <phoneticPr fontId="4" type="noConversion"/>
  </si>
  <si>
    <t>GENLIN1</t>
    <phoneticPr fontId="4" type="noConversion"/>
  </si>
  <si>
    <t>MIDOF31</t>
    <phoneticPr fontId="4" type="noConversion"/>
  </si>
  <si>
    <t>VDTLDLAG1</t>
    <phoneticPr fontId="4" type="noConversion"/>
  </si>
  <si>
    <t>CALCULTR1</t>
    <phoneticPr fontId="4" type="noConversion"/>
  </si>
  <si>
    <t>SUMMER1</t>
    <phoneticPr fontId="4" type="noConversion"/>
  </si>
  <si>
    <t>AUTOMAN1</t>
    <phoneticPr fontId="4" type="noConversion"/>
  </si>
  <si>
    <t>SWITCH1</t>
    <phoneticPr fontId="4" type="noConversion"/>
  </si>
  <si>
    <t>ORSEL1</t>
    <phoneticPr fontId="4" type="noConversion"/>
  </si>
  <si>
    <t>MULDIV1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</si>
</sst>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0"/>
      <color indexed="8"/>
      <name val="宋体"/>
      <charset val="134"/>
    </font>
    <font>
      <b/>
      <sz val="10"/>
      <name val="宋体"/>
      <charset val="134"/>
    </font>
    <font>
      <b/>
      <sz val="11"/>
      <color indexed="8"/>
      <name val="宋体"/>
      <charset val="134"/>
    </font>
    <font>
      <sz val="9"/>
      <name val="等线"/>
      <charset val="134"/>
    </font>
    <font>
      <sz val="14"/>
      <color theme="1"/>
      <name val="宋体"/>
      <charset val="134"/>
    </font>
    <font>
      <sz val="14"/>
      <color theme="1"/>
      <name val="等线"/>
      <charset val="134"/>
      <scheme val="minor"/>
    </font>
    <font>
      <sz val="10"/>
      <color theme="1"/>
      <name val="宋体"/>
      <charset val="134"/>
    </font>
    <font>
      <b/>
      <sz val="10"/>
      <color theme="1"/>
      <name val="宋体"/>
      <charset val="134"/>
    </font>
    <font>
      <sz val="10"/>
      <color theme="1"/>
      <name val="等线"/>
      <charset val="134"/>
      <scheme val="minor"/>
    </font>
    <font>
      <b/>
      <sz val="12"/>
      <color theme="1"/>
      <name val="等线"/>
      <charset val="134"/>
      <scheme val="minor"/>
    </font>
    <font>
      <sz val="12"/>
      <color theme="1"/>
      <name val="等线"/>
      <charset val="134"/>
      <scheme val="minor"/>
    </font>
    <font>
      <sz val="12"/>
      <name val="等线"/>
      <charset val="134"/>
      <scheme val="minor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left"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 wrapText="1"/>
    </xf>
    <xf numFmtId="0" fontId="6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9" fillId="0" borderId="0" xfId="0" applyFont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5" borderId="2" xfId="0" applyFont="1" applyFill="1" applyBorder="1" applyAlignment="1">
      <alignment horizontal="left" vertical="center" wrapText="1"/>
    </xf>
    <xf numFmtId="0" fontId="10" fillId="5" borderId="3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5" xfId="0" applyFont="1" applyFill="1" applyBorder="1" applyAlignment="1">
      <alignment horizontal="center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6" xfId="0" applyFont="1" applyFill="1" applyBorder="1" applyAlignment="1" applyProtection="1">
      <alignment horizontal="left" vertical="center" wrapText="1"/>
      <protection locked="0"/>
    </xf>
    <xf numFmtId="0" fontId="11" fillId="0" borderId="1" xfId="0" applyFont="1" applyFill="1" applyBorder="1" applyAlignment="1" applyProtection="1">
      <alignment horizontal="left" vertical="center" wrapText="1"/>
      <protection locked="0"/>
    </xf>
    <xf numFmtId="0" fontId="11" fillId="0" borderId="7" xfId="0" applyFont="1" applyFill="1" applyBorder="1" applyAlignment="1" applyProtection="1">
      <alignment horizontal="left" vertical="center" wrapText="1"/>
      <protection locked="0"/>
    </xf>
    <xf numFmtId="0" fontId="12" fillId="0" borderId="1" xfId="0" applyFont="1" applyFill="1" applyBorder="1" applyAlignment="1" applyProtection="1">
      <alignment horizontal="left" vertical="center" wrapText="1"/>
      <protection locked="0"/>
    </xf>
    <xf numFmtId="0" fontId="11" fillId="0" borderId="8" xfId="0" applyFont="1" applyFill="1" applyBorder="1" applyAlignment="1" applyProtection="1">
      <alignment horizontal="left" vertical="center" wrapText="1"/>
      <protection locked="0"/>
    </xf>
    <xf numFmtId="0" fontId="11" fillId="0" borderId="9" xfId="0" applyFont="1" applyFill="1" applyBorder="1" applyAlignment="1" applyProtection="1">
      <alignment horizontal="left" vertical="center" wrapText="1"/>
      <protection locked="0"/>
    </xf>
    <xf numFmtId="0" fontId="11" fillId="0" borderId="1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6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 applyProtection="1">
      <alignment horizontal="center" vertical="center" wrapText="1"/>
      <protection locked="0"/>
    </xf>
    <xf numFmtId="0" fontId="10" fillId="5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7" fillId="6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topLeftCell="A7" workbookViewId="0">
      <selection activeCell="K11" sqref="K11"/>
    </sheetView>
  </sheetViews>
  <sheetFormatPr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24624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24632</v>
      </c>
      <c r="C10" s="25" t="s">
        <v>24627</v>
      </c>
      <c r="D10" s="25"/>
      <c r="E10" s="26"/>
    </row>
    <row r="11" spans="1:7" x14ac:dyDescent="0.2">
      <c r="A11" s="37"/>
      <c r="B11" s="24" t="s">
        <v>24633</v>
      </c>
      <c r="C11" s="25" t="s">
        <v>42</v>
      </c>
      <c r="D11" s="25"/>
      <c r="E11" s="26"/>
    </row>
    <row r="12" spans="1:7" x14ac:dyDescent="0.2">
      <c r="A12" s="37"/>
      <c r="B12" s="24" t="s">
        <v>24634</v>
      </c>
      <c r="C12" s="25" t="s">
        <v>24628</v>
      </c>
      <c r="D12" s="25"/>
      <c r="E12" s="26"/>
    </row>
    <row r="13" spans="1:7" x14ac:dyDescent="0.2">
      <c r="A13" s="37"/>
      <c r="B13" s="24" t="s">
        <v>24631</v>
      </c>
      <c r="C13" s="25" t="s">
        <v>24629</v>
      </c>
      <c r="D13" s="25"/>
      <c r="E13" s="26"/>
    </row>
    <row r="14" spans="1:7" x14ac:dyDescent="0.2">
      <c r="A14" s="37"/>
      <c r="B14" s="24" t="s">
        <v>24635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4" type="noConversion"/>
  <dataValidations disablePrompts="1"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0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BN186"/>
  <sheetViews>
    <sheetView workbookViewId="0"/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29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29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29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29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29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29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29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29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29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29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29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  <c r="AB43">
        <v>1</v>
      </c>
      <c r="AC43">
        <v>1</v>
      </c>
    </row>
    <row r="44" spans="1:29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  <c r="AB44">
        <v>1</v>
      </c>
      <c r="AC44">
        <v>1</v>
      </c>
    </row>
    <row r="45" spans="1:29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  <c r="AB45">
        <v>1</v>
      </c>
      <c r="AC45">
        <v>1</v>
      </c>
    </row>
    <row r="46" spans="1:29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  <c r="AB46">
        <v>1</v>
      </c>
      <c r="AC46">
        <v>1</v>
      </c>
    </row>
    <row r="47" spans="1:29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29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29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29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29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29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29" x14ac:dyDescent="0.2">
      <c r="A69" t="s">
        <v>12518</v>
      </c>
      <c r="D69" t="s">
        <v>12398</v>
      </c>
      <c r="E69" t="s">
        <v>12399</v>
      </c>
      <c r="F69">
        <v>10</v>
      </c>
    </row>
    <row r="70" spans="1:29" x14ac:dyDescent="0.2">
      <c r="A70" t="s">
        <v>12519</v>
      </c>
      <c r="D70" t="s">
        <v>12398</v>
      </c>
      <c r="E70" t="s">
        <v>12399</v>
      </c>
      <c r="F70">
        <v>10</v>
      </c>
    </row>
    <row r="71" spans="1:29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29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29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29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  <c r="AB74">
        <v>1</v>
      </c>
      <c r="AC74">
        <v>1</v>
      </c>
    </row>
    <row r="75" spans="1:29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  <c r="AB75">
        <v>1</v>
      </c>
      <c r="AC75">
        <v>1</v>
      </c>
    </row>
    <row r="76" spans="1:29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29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29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29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  <c r="AB79">
        <v>1</v>
      </c>
      <c r="AC79">
        <v>1</v>
      </c>
    </row>
    <row r="80" spans="1:29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29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29" x14ac:dyDescent="0.2">
      <c r="A98" t="s">
        <v>12565</v>
      </c>
      <c r="D98" t="s">
        <v>12398</v>
      </c>
      <c r="E98" t="s">
        <v>12399</v>
      </c>
      <c r="F98">
        <v>11</v>
      </c>
      <c r="AB98">
        <v>1</v>
      </c>
      <c r="AC98">
        <v>1</v>
      </c>
    </row>
    <row r="99" spans="1:29" x14ac:dyDescent="0.2">
      <c r="A99" t="s">
        <v>12566</v>
      </c>
      <c r="D99" t="s">
        <v>12398</v>
      </c>
      <c r="E99" t="s">
        <v>12399</v>
      </c>
      <c r="F99">
        <v>11</v>
      </c>
      <c r="AB99">
        <v>1</v>
      </c>
      <c r="AC99">
        <v>1</v>
      </c>
    </row>
    <row r="100" spans="1:29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29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29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29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29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29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29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29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29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29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29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29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29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29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29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29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29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  <c r="AB116">
        <v>1</v>
      </c>
      <c r="AC116">
        <v>1</v>
      </c>
    </row>
    <row r="117" spans="1:29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29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29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29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29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29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29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29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29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29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29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29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29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29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29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29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29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29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29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29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29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29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29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29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29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29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  <c r="AB142">
        <v>1</v>
      </c>
      <c r="AC142">
        <v>1</v>
      </c>
    </row>
    <row r="143" spans="1:29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  <c r="AB143">
        <v>1</v>
      </c>
      <c r="AC143">
        <v>1</v>
      </c>
    </row>
    <row r="144" spans="1:29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29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  <c r="AB145">
        <v>1</v>
      </c>
      <c r="AC145">
        <v>1</v>
      </c>
    </row>
    <row r="146" spans="1:29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29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29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29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29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29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29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29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29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29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29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29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29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29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29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2021-03-17T12:45:41Z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